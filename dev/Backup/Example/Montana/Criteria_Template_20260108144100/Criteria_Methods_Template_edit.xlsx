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Work\TT_Backup2\WY_Tool\TADAShinyAnalyze\dev\Backup\Example\Montana\Criteria_Template_20260108144100\"/>
    </mc:Choice>
  </mc:AlternateContent>
  <xr:revisionPtr revIDLastSave="0" documentId="13_ncr:1_{130D7CBF-8B85-4728-B7E4-97120FBCC6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fineCriteriaMethodology" sheetId="1" r:id="rId1"/>
    <sheet name="Index-Criteria" sheetId="2" state="hidden" r:id="rId2"/>
  </sheets>
  <calcPr calcId="0"/>
</workbook>
</file>

<file path=xl/sharedStrings.xml><?xml version="1.0" encoding="utf-8"?>
<sst xmlns="http://schemas.openxmlformats.org/spreadsheetml/2006/main" count="764" uniqueCount="247">
  <si>
    <t>ATTAINS.OrganizationIdentifier</t>
  </si>
  <si>
    <t>ATTAINS.ParameterName</t>
  </si>
  <si>
    <t>ATTAINS.UseName</t>
  </si>
  <si>
    <t>TADA.ComparableDataIdentifier</t>
  </si>
  <si>
    <t>TADA.CharacteristicName</t>
  </si>
  <si>
    <t>TADA.ResultSampleFractionText</t>
  </si>
  <si>
    <t>TADA.MethodSpeciationName</t>
  </si>
  <si>
    <t>ATTAINS.WaterType</t>
  </si>
  <si>
    <t>SaltFresh</t>
  </si>
  <si>
    <t>DepthCategory</t>
  </si>
  <si>
    <t>UniqueSpatialCriteria</t>
  </si>
  <si>
    <t>AcuteChronic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</si>
  <si>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</si>
  <si>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</si>
  <si>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</si>
  <si>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</si>
  <si>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</si>
  <si>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</si>
  <si>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</si>
  <si>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</si>
  <si>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</si>
  <si>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</si>
  <si>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</si>
  <si>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</si>
  <si>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</si>
  <si>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</si>
  <si>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</si>
  <si>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</si>
  <si>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</si>
  <si>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</si>
  <si>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Notes</t>
  </si>
  <si>
    <t>EquationType</t>
  </si>
  <si>
    <t>Equation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</si>
  <si>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</si>
  <si>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</si>
  <si>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</si>
  <si>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</si>
  <si>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</si>
  <si>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</si>
  <si>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</si>
  <si>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</si>
  <si>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</si>
  <si>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</si>
  <si>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MTDEQ</t>
  </si>
  <si>
    <t>ALUMINUM</t>
  </si>
  <si>
    <t>Aquatic Life</t>
  </si>
  <si>
    <t>Total</t>
  </si>
  <si>
    <t>Fresh</t>
  </si>
  <si>
    <t>Acute</t>
  </si>
  <si>
    <t>No</t>
  </si>
  <si>
    <t>UG/L</t>
  </si>
  <si>
    <t>n-hour</t>
  </si>
  <si>
    <t>arithmetic mean</t>
  </si>
  <si>
    <t>Percent of samples not meeting</t>
  </si>
  <si>
    <t>Chronic</t>
  </si>
  <si>
    <t>ARSENIC</t>
  </si>
  <si>
    <t>Total Recoverable</t>
  </si>
  <si>
    <t>CADMIUM</t>
  </si>
  <si>
    <t>COPPER</t>
  </si>
  <si>
    <t>IRON</t>
  </si>
  <si>
    <t>n-samples in 3 years</t>
  </si>
  <si>
    <t>LEAD</t>
  </si>
  <si>
    <t>n-day</t>
  </si>
  <si>
    <t>arithmetic max</t>
  </si>
  <si>
    <t>MERCURY</t>
  </si>
  <si>
    <t>DISSOLVED OXYGEN</t>
  </si>
  <si>
    <t>DISSOLVED OXYGEN (DO)</t>
  </si>
  <si>
    <t>Dissolved</t>
  </si>
  <si>
    <t>Cold water, other life stages present</t>
  </si>
  <si>
    <t>MG/L</t>
  </si>
  <si>
    <t>arithmetic mean min</t>
  </si>
  <si>
    <t>arithmetic min</t>
  </si>
  <si>
    <t>Warm water, other life stages present</t>
  </si>
  <si>
    <t>early life stages present  - burbot not present</t>
  </si>
  <si>
    <t>March 15 - Aug 31</t>
  </si>
  <si>
    <t>early life stages present - burbot present</t>
  </si>
  <si>
    <t>Feb 1 - Aug 31</t>
  </si>
  <si>
    <t>early life stages present -  - burbot present</t>
  </si>
  <si>
    <t>SELENIUM</t>
  </si>
  <si>
    <t>Drinking Water</t>
  </si>
  <si>
    <t>BARIUM</t>
  </si>
  <si>
    <t>BERYLLIUM</t>
  </si>
  <si>
    <t>THALLIUM</t>
  </si>
  <si>
    <t>CHLOROPHYLL A</t>
  </si>
  <si>
    <t>CONDUCTIVITY</t>
  </si>
  <si>
    <t>PH</t>
  </si>
  <si>
    <t>TEMPERATURE</t>
  </si>
  <si>
    <t>TURBIDITY</t>
  </si>
  <si>
    <t>SPECIFIC CONDUCTANCE</t>
  </si>
  <si>
    <t>ORGANIC CARBON</t>
  </si>
  <si>
    <t>MAGNESIUM</t>
  </si>
  <si>
    <t>CALCIUM</t>
  </si>
  <si>
    <t>HARDNESS, CA, MG</t>
  </si>
  <si>
    <t>TOTAL SUSPENDED SOLIDS</t>
  </si>
  <si>
    <t>SULFATE</t>
  </si>
  <si>
    <t>CHLORIDE</t>
  </si>
  <si>
    <t>CARBONATE</t>
  </si>
  <si>
    <t>BICARBONATE</t>
  </si>
  <si>
    <t>SODIUM</t>
  </si>
  <si>
    <t>POTASSIUM</t>
  </si>
  <si>
    <t>ALKALINITY, TOTAL</t>
  </si>
  <si>
    <t>BROMIDE</t>
  </si>
  <si>
    <t>LITHIUM</t>
  </si>
  <si>
    <t>MANGANESE</t>
  </si>
  <si>
    <t>MOLYBDENUM</t>
  </si>
  <si>
    <t>COBALT</t>
  </si>
  <si>
    <t>BORON</t>
  </si>
  <si>
    <t>TOTAL DISSOLVED SOLIDS</t>
  </si>
  <si>
    <t>WATER LEVEL IN WELL, DEPTH FROM A REFERENCE POINT</t>
  </si>
  <si>
    <t>RADIUM-226</t>
  </si>
  <si>
    <t>FLUORIDE</t>
  </si>
  <si>
    <t>RADIUM-228</t>
  </si>
  <si>
    <t>ANTIMONY</t>
  </si>
  <si>
    <t>CHROMIUM</t>
  </si>
  <si>
    <t>RADIUM</t>
  </si>
  <si>
    <t>OXIDATION REDUCTION POTENTIAL (ORP)</t>
  </si>
  <si>
    <t>CHLOROPHYLL A_UNFILTERED_NA_RFU</t>
  </si>
  <si>
    <t>UNFILTERED</t>
  </si>
  <si>
    <t>CONDUCTIVITY_NA_NA_US/CM</t>
  </si>
  <si>
    <t>DISSOLVED OXYGEN (DO)_NONE_NONE_MG/L</t>
  </si>
  <si>
    <t>NONE</t>
  </si>
  <si>
    <t>PH_NONE_NONE_NONE</t>
  </si>
  <si>
    <t>TEMPERATURE_NA_NA_DEG C</t>
  </si>
  <si>
    <t>TURBIDITY_NA_NA_NTU</t>
  </si>
  <si>
    <t>SPECIFIC CONDUCTANCE_NA_NA_US/CM</t>
  </si>
  <si>
    <t>ORGANIC CARBON_DISSOLVED_NA_UG/L</t>
  </si>
  <si>
    <t>DISSOLVED</t>
  </si>
  <si>
    <t>ALUMINUM_FILTERED, FIELD_NA_UG/L</t>
  </si>
  <si>
    <t>FILTERED, FIELD</t>
  </si>
  <si>
    <t>ALUMINUM_TOTAL RECOVERABLE_NA_UG/L</t>
  </si>
  <si>
    <t>TOTAL RECOVERABLE</t>
  </si>
  <si>
    <t>MAGNESIUM_FREE AVAILABLE_NA_UG/L</t>
  </si>
  <si>
    <t>FREE AVAILABLE</t>
  </si>
  <si>
    <t>CALCIUM_FREE AVAILABLE_NA_UG/L</t>
  </si>
  <si>
    <t>SELENIUM_FILTERED, FIELD_NA_UG/L</t>
  </si>
  <si>
    <t>SELENIUM_TOTAL RECOVERABLE_NA_UG/L</t>
  </si>
  <si>
    <t>HARDNESS, CA, MG_NA_AS CACO3_MG/L</t>
  </si>
  <si>
    <t>AS CACO3</t>
  </si>
  <si>
    <t>TOTAL SUSPENDED SOLIDS_NON-FILTERABLE (PARTICLE)_NA_UG/L</t>
  </si>
  <si>
    <t>NON-FILTERABLE (PARTICLE)</t>
  </si>
  <si>
    <t>SULFATE_TOTAL_NA_UG/L</t>
  </si>
  <si>
    <t>TOTAL</t>
  </si>
  <si>
    <t>CHLORIDE_TOTAL_NA_UG/L</t>
  </si>
  <si>
    <t>CARBONATE_TOTAL_AS CACO3_UG/L</t>
  </si>
  <si>
    <t>BICARBONATE_TOTAL_AS CACO3_UG/L</t>
  </si>
  <si>
    <t>COPPER_TOTAL RECOVERABLE_NA_UG/L</t>
  </si>
  <si>
    <t>SODIUM_FREE AVAILABLE_NA_UG/L</t>
  </si>
  <si>
    <t>POTASSIUM_FREE AVAILABLE_NA_UG/L</t>
  </si>
  <si>
    <t>COPPER_FILTERED, FIELD_NA_UG/L</t>
  </si>
  <si>
    <t>ALKALINITY, TOTAL_NA_AS CACO3_UG/L</t>
  </si>
  <si>
    <t>CARBONATE_TOTAL_AS CO3_UG/L</t>
  </si>
  <si>
    <t>AS CO3</t>
  </si>
  <si>
    <t>BICARBONATE_TOTAL_AS HCO3_UG/L</t>
  </si>
  <si>
    <t>AS HCO3</t>
  </si>
  <si>
    <t>ALKALINITY, TOTAL_TOTAL_AS CACO3_UG/L</t>
  </si>
  <si>
    <t>ALUMINUM_DISSOLVED_NA_UG/L</t>
  </si>
  <si>
    <t>COPPER_DISSOLVED_NA_UG/L</t>
  </si>
  <si>
    <t>SELENIUM_DISSOLVED_NA_UG/L</t>
  </si>
  <si>
    <t>MAGNESIUM_TOTAL RECOVERABLE_NA_UG/L</t>
  </si>
  <si>
    <t>SODIUM_TOTAL RECOVERABLE_NA_UG/L</t>
  </si>
  <si>
    <t>CALCIUM_TOTAL RECOVERABLE_NA_UG/L</t>
  </si>
  <si>
    <t>POTASSIUM_TOTAL RECOVERABLE_NA_UG/L</t>
  </si>
  <si>
    <t>SULFATE_TOTAL_AS SO4_UG/L</t>
  </si>
  <si>
    <t>AS SO4</t>
  </si>
  <si>
    <t>BROMIDE_NA_NA_UG/L</t>
  </si>
  <si>
    <t>BICARBONATE_NA_AS HCO3_UG/L</t>
  </si>
  <si>
    <t>LITHIUM_DISSOLVED_NA_UG/L</t>
  </si>
  <si>
    <t>MAGNESIUM_DISSOLVED_NA_UG/L</t>
  </si>
  <si>
    <t>MANGANESE_DISSOLVED_NA_UG/L</t>
  </si>
  <si>
    <t>MOLYBDENUM_DISSOLVED_NA_UG/L</t>
  </si>
  <si>
    <t>SODIUM_DISSOLVED_NA_UG/L</t>
  </si>
  <si>
    <t>COBALT_DISSOLVED_NA_UG/L</t>
  </si>
  <si>
    <t>CALCIUM_DISSOLVED_NA_UG/L</t>
  </si>
  <si>
    <t>POTASSIUM_DISSOLVED_NA_UG/L</t>
  </si>
  <si>
    <t>BORON_DISSOLVED_NA_UG/L</t>
  </si>
  <si>
    <t>TOTAL DISSOLVED SOLIDS_NA_NA_UG/L</t>
  </si>
  <si>
    <t>WATER LEVEL IN WELL, DEPTH FROM A REFERENCE POINT_NA_NA_IN</t>
  </si>
  <si>
    <t>RADIUM-226_TOTAL_AS RA226_PCI/L</t>
  </si>
  <si>
    <t>AS RA226</t>
  </si>
  <si>
    <t>FLUORIDE_TOTAL_NA_UG/L</t>
  </si>
  <si>
    <t>RADIUM-228_TOTAL_UNKNOWN_PCI/L</t>
  </si>
  <si>
    <t>UNKNOWN</t>
  </si>
  <si>
    <t>IRON_TOTAL RECOVERABLE_NA_UG/L</t>
  </si>
  <si>
    <t>LEAD_TOTAL RECOVERABLE_NA_UG/L</t>
  </si>
  <si>
    <t>MANGANESE_TOTAL RECOVERABLE_NA_UG/L</t>
  </si>
  <si>
    <t>MOLYBDENUM_TOTAL RECOVERABLE_NA_UG/L</t>
  </si>
  <si>
    <t>THALLIUM_TOTAL RECOVERABLE_NA_UG/L</t>
  </si>
  <si>
    <t>ANTIMONY_TOTAL RECOVERABLE_NA_UG/L</t>
  </si>
  <si>
    <t>ARSENIC_TOTAL RECOVERABLE_NA_UG/L</t>
  </si>
  <si>
    <t>BARIUM_TOTAL RECOVERABLE_NA_UG/L</t>
  </si>
  <si>
    <t>CADMIUM_TOTAL RECOVERABLE_NA_UG/L</t>
  </si>
  <si>
    <t>CHROMIUM_TOTAL RECOVERABLE_NA_UG/L</t>
  </si>
  <si>
    <t>COBALT_TOTAL RECOVERABLE_NA_UG/L</t>
  </si>
  <si>
    <t>LITHIUM_TOTAL RECOVERABLE_NA_UG/L</t>
  </si>
  <si>
    <t>BERYLLIUM_TOTAL RECOVERABLE_NA_UG/L</t>
  </si>
  <si>
    <t>BORON_TOTAL RECOVERABLE_NA_UG/L</t>
  </si>
  <si>
    <t>MERCURY_TOTAL RECOVERABLE_NA_UG/L</t>
  </si>
  <si>
    <t>RADIUM_TOTAL_AS RA_PCI/L</t>
  </si>
  <si>
    <t>AS RA</t>
  </si>
  <si>
    <t>DISSOLVED OXYGEN (DO)_NA_NA_UG/L</t>
  </si>
  <si>
    <t>OXIDATION REDUCTION POTENTIAL (ORP)_NA_NA_VOLTS</t>
  </si>
  <si>
    <t>RIVER</t>
  </si>
  <si>
    <t>LAKE, FRESHWATER</t>
  </si>
  <si>
    <t>Salt</t>
  </si>
  <si>
    <t>NA</t>
  </si>
  <si>
    <t>No depth info</t>
  </si>
  <si>
    <t>Epilimnion-surface</t>
  </si>
  <si>
    <t>Surface</t>
  </si>
  <si>
    <t>Bottom</t>
  </si>
  <si>
    <t>Middle</t>
  </si>
  <si>
    <t>Yes</t>
  </si>
  <si>
    <t>RFU</t>
  </si>
  <si>
    <t>US/CM</t>
  </si>
  <si>
    <t>DEG C</t>
  </si>
  <si>
    <t>NTU</t>
  </si>
  <si>
    <t>IN</t>
  </si>
  <si>
    <t>PCI/L</t>
  </si>
  <si>
    <t>VOLTS</t>
  </si>
  <si>
    <t>n-week</t>
  </si>
  <si>
    <t>n-month</t>
  </si>
  <si>
    <t>n-quarter</t>
  </si>
  <si>
    <t>arithmetic median</t>
  </si>
  <si>
    <t>geometric mean</t>
  </si>
  <si>
    <t>rolling geometric mean</t>
  </si>
  <si>
    <t>rolling arithmetric mean</t>
  </si>
  <si>
    <t>percentile</t>
  </si>
  <si>
    <t>n-samples in 4 years</t>
  </si>
  <si>
    <t>n-samples in 5 years</t>
  </si>
  <si>
    <t>binomial test</t>
  </si>
  <si>
    <t>NumberNotMeeting</t>
  </si>
  <si>
    <t>Last 30 years</t>
  </si>
  <si>
    <t>Last 10 years</t>
  </si>
  <si>
    <t>Last 5 years</t>
  </si>
  <si>
    <t>Last 3 years</t>
  </si>
  <si>
    <t>Last year</t>
  </si>
  <si>
    <t>Summer</t>
  </si>
  <si>
    <t>Fall</t>
  </si>
  <si>
    <t>Spring</t>
  </si>
  <si>
    <t>Winter</t>
  </si>
  <si>
    <t>Seasonal</t>
  </si>
  <si>
    <t>Annual</t>
  </si>
  <si>
    <t>Semi-Annual</t>
  </si>
  <si>
    <t>Quarterly</t>
  </si>
  <si>
    <t>Monthly</t>
  </si>
  <si>
    <t>Bi-weekly</t>
  </si>
  <si>
    <t>Weekly</t>
  </si>
  <si>
    <t>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</si>
</sst>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一般" xfId="0" builtinId="0"/>
  </cellStyles>
  <dxfs count="2">
    <dxf>
      <font>
        <sz val="11"/>
        <color rgb="FF000000"/>
        <name val="Calibri"/>
      </font>
      <fill>
        <patternFill patternType="solid">
          <bgColor rgb="FFF0E442"/>
        </patternFill>
      </fill>
    </dxf>
    <dxf>
      <font>
        <sz val="11"/>
        <color rgb="FF000000"/>
        <name val="Calibri"/>
      </font>
      <fill>
        <patternFill patternType="solid">
          <bgColor rgb="FFCD758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7"/>
  <sheetViews>
    <sheetView tabSelected="1" zoomScale="90" workbookViewId="0">
      <pane xSplit="3" ySplit="1" topLeftCell="D24" activePane="bottomRight" state="frozen"/>
      <selection pane="topRight"/>
      <selection pane="bottomLeft"/>
      <selection pane="bottomRight" activeCell="A38" sqref="A38:XFD70"/>
    </sheetView>
  </sheetViews>
  <sheetFormatPr defaultColWidth="10.6640625" defaultRowHeight="14.25" outlineLevelCol="1" x14ac:dyDescent="0.45"/>
  <cols>
    <col min="1" max="5" width="20.73046875" customWidth="1"/>
    <col min="6" max="6" width="29.73046875" customWidth="1"/>
    <col min="7" max="7" width="25.73046875" customWidth="1"/>
    <col min="8" max="8" width="17.73046875" customWidth="1"/>
    <col min="9" max="9" width="9.73046875" customWidth="1"/>
    <col min="10" max="10" width="13.73046875" customWidth="1"/>
    <col min="11" max="11" width="47.73046875" customWidth="1"/>
    <col min="12" max="12" width="12.73046875" customWidth="1"/>
    <col min="13" max="13" width="13.73046875" customWidth="1"/>
    <col min="14" max="15" width="19.73046875" customWidth="1"/>
    <col min="16" max="17" width="13.73046875" customWidth="1"/>
    <col min="18" max="18" width="12.73046875" customWidth="1"/>
    <col min="19" max="19" width="19.73046875" customWidth="1"/>
    <col min="20" max="20" width="9.73046875" customWidth="1"/>
    <col min="21" max="21" width="30.73046875" customWidth="1"/>
    <col min="22" max="22" width="12.73046875" customWidth="1" outlineLevel="1"/>
    <col min="23" max="23" width="21.73046875" customWidth="1" outlineLevel="1"/>
    <col min="24" max="24" width="19.73046875" customWidth="1" outlineLevel="1"/>
    <col min="25" max="25" width="17.73046875" customWidth="1" outlineLevel="1"/>
    <col min="26" max="26" width="15.73046875" customWidth="1" outlineLevel="1"/>
    <col min="27" max="27" width="13.73046875" customWidth="1" outlineLevel="1"/>
    <col min="28" max="28" width="10.73046875" customWidth="1" outlineLevel="1"/>
    <col min="29" max="29" width="11.73046875" customWidth="1" outlineLevel="1"/>
    <col min="30" max="30" width="14.73046875" customWidth="1" outlineLevel="1"/>
    <col min="31" max="31" width="5.73046875" customWidth="1" outlineLevel="1"/>
    <col min="32" max="32" width="12.73046875" customWidth="1" outlineLevel="1"/>
    <col min="33" max="33" width="8.73046875" customWidth="1" outlineLevel="1"/>
    <col min="34" max="39" width="16.73046875" customWidth="1" outlineLevel="1"/>
    <col min="40" max="43" width="10.73046875" customWidth="1" outlineLevel="1"/>
  </cols>
  <sheetData>
    <row r="1" spans="1:4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45">
      <c r="A2" t="s">
        <v>43</v>
      </c>
      <c r="B2" t="s">
        <v>44</v>
      </c>
      <c r="C2" t="s">
        <v>45</v>
      </c>
      <c r="E2" t="s">
        <v>44</v>
      </c>
      <c r="F2" t="s">
        <v>46</v>
      </c>
      <c r="I2" t="s">
        <v>47</v>
      </c>
      <c r="L2" t="s">
        <v>48</v>
      </c>
      <c r="M2" t="s">
        <v>49</v>
      </c>
      <c r="O2">
        <v>750</v>
      </c>
      <c r="P2" t="s">
        <v>50</v>
      </c>
      <c r="Q2">
        <v>1</v>
      </c>
      <c r="R2" t="s">
        <v>51</v>
      </c>
      <c r="S2" t="s">
        <v>52</v>
      </c>
      <c r="T2">
        <v>10</v>
      </c>
      <c r="U2" t="s">
        <v>53</v>
      </c>
      <c r="W2" s="2"/>
      <c r="X2" s="2"/>
      <c r="Z2" s="2"/>
      <c r="AA2" s="2"/>
    </row>
    <row r="3" spans="1:43" x14ac:dyDescent="0.45">
      <c r="A3" t="s">
        <v>43</v>
      </c>
      <c r="B3" t="s">
        <v>44</v>
      </c>
      <c r="C3" t="s">
        <v>45</v>
      </c>
      <c r="E3" t="s">
        <v>44</v>
      </c>
      <c r="F3" t="s">
        <v>46</v>
      </c>
      <c r="I3" t="s">
        <v>47</v>
      </c>
      <c r="L3" t="s">
        <v>54</v>
      </c>
      <c r="M3" t="s">
        <v>49</v>
      </c>
      <c r="O3">
        <v>87</v>
      </c>
      <c r="P3" t="s">
        <v>50</v>
      </c>
      <c r="Q3">
        <v>96</v>
      </c>
      <c r="R3" t="s">
        <v>51</v>
      </c>
      <c r="S3" t="s">
        <v>52</v>
      </c>
      <c r="T3">
        <v>10</v>
      </c>
      <c r="U3" t="s">
        <v>53</v>
      </c>
      <c r="W3" s="2"/>
      <c r="X3" s="2"/>
      <c r="Z3" s="2"/>
      <c r="AA3" s="2"/>
    </row>
    <row r="4" spans="1:43" x14ac:dyDescent="0.45">
      <c r="A4" t="s">
        <v>43</v>
      </c>
      <c r="B4" t="s">
        <v>55</v>
      </c>
      <c r="C4" t="s">
        <v>45</v>
      </c>
      <c r="E4" t="s">
        <v>55</v>
      </c>
      <c r="F4" t="s">
        <v>56</v>
      </c>
      <c r="I4" t="s">
        <v>47</v>
      </c>
      <c r="L4" t="s">
        <v>48</v>
      </c>
      <c r="M4" t="s">
        <v>49</v>
      </c>
      <c r="O4">
        <v>340</v>
      </c>
      <c r="P4" t="s">
        <v>50</v>
      </c>
      <c r="Q4">
        <v>1</v>
      </c>
      <c r="R4" t="s">
        <v>51</v>
      </c>
      <c r="S4" t="s">
        <v>52</v>
      </c>
      <c r="T4">
        <v>10</v>
      </c>
      <c r="U4" t="s">
        <v>53</v>
      </c>
      <c r="W4" s="2"/>
      <c r="X4" s="2"/>
      <c r="Z4" s="2"/>
      <c r="AA4" s="2"/>
    </row>
    <row r="5" spans="1:43" x14ac:dyDescent="0.45">
      <c r="A5" t="s">
        <v>43</v>
      </c>
      <c r="B5" t="s">
        <v>55</v>
      </c>
      <c r="C5" t="s">
        <v>45</v>
      </c>
      <c r="E5" t="s">
        <v>55</v>
      </c>
      <c r="F5" t="s">
        <v>56</v>
      </c>
      <c r="I5" t="s">
        <v>47</v>
      </c>
      <c r="L5" t="s">
        <v>54</v>
      </c>
      <c r="M5" t="s">
        <v>49</v>
      </c>
      <c r="O5">
        <v>150</v>
      </c>
      <c r="P5" t="s">
        <v>50</v>
      </c>
      <c r="Q5">
        <v>96</v>
      </c>
      <c r="R5" t="s">
        <v>51</v>
      </c>
      <c r="S5" t="s">
        <v>52</v>
      </c>
      <c r="T5">
        <v>10</v>
      </c>
      <c r="U5" t="s">
        <v>53</v>
      </c>
      <c r="W5" s="2"/>
      <c r="X5" s="2"/>
      <c r="Z5" s="2"/>
      <c r="AA5" s="2"/>
    </row>
    <row r="6" spans="1:43" x14ac:dyDescent="0.45">
      <c r="A6" t="s">
        <v>43</v>
      </c>
      <c r="B6" t="s">
        <v>57</v>
      </c>
      <c r="C6" t="s">
        <v>45</v>
      </c>
      <c r="E6" t="s">
        <v>57</v>
      </c>
      <c r="F6" t="s">
        <v>56</v>
      </c>
      <c r="I6" t="s">
        <v>47</v>
      </c>
      <c r="L6" t="s">
        <v>48</v>
      </c>
      <c r="M6" t="s">
        <v>49</v>
      </c>
      <c r="O6">
        <v>0.49</v>
      </c>
      <c r="P6" t="s">
        <v>50</v>
      </c>
      <c r="Q6">
        <v>1</v>
      </c>
      <c r="R6" t="s">
        <v>51</v>
      </c>
      <c r="S6" t="s">
        <v>52</v>
      </c>
      <c r="T6">
        <v>10</v>
      </c>
      <c r="U6" t="s">
        <v>53</v>
      </c>
      <c r="W6" s="2"/>
      <c r="X6" s="2"/>
      <c r="Z6" s="2"/>
      <c r="AA6" s="2"/>
    </row>
    <row r="7" spans="1:43" x14ac:dyDescent="0.45">
      <c r="A7" t="s">
        <v>43</v>
      </c>
      <c r="B7" t="s">
        <v>57</v>
      </c>
      <c r="C7" t="s">
        <v>45</v>
      </c>
      <c r="E7" t="s">
        <v>57</v>
      </c>
      <c r="F7" t="s">
        <v>56</v>
      </c>
      <c r="I7" t="s">
        <v>47</v>
      </c>
      <c r="L7" t="s">
        <v>54</v>
      </c>
      <c r="M7" t="s">
        <v>49</v>
      </c>
      <c r="O7">
        <v>0.25</v>
      </c>
      <c r="P7" t="s">
        <v>50</v>
      </c>
      <c r="Q7">
        <v>96</v>
      </c>
      <c r="R7" t="s">
        <v>51</v>
      </c>
      <c r="S7" t="s">
        <v>52</v>
      </c>
      <c r="T7">
        <v>10</v>
      </c>
      <c r="U7" t="s">
        <v>53</v>
      </c>
      <c r="W7" s="2"/>
      <c r="X7" s="2"/>
      <c r="Z7" s="2"/>
      <c r="AA7" s="2"/>
    </row>
    <row r="8" spans="1:43" x14ac:dyDescent="0.45">
      <c r="A8" t="s">
        <v>43</v>
      </c>
      <c r="B8" t="s">
        <v>58</v>
      </c>
      <c r="C8" t="s">
        <v>45</v>
      </c>
      <c r="E8" t="s">
        <v>58</v>
      </c>
      <c r="F8" t="s">
        <v>56</v>
      </c>
      <c r="I8" t="s">
        <v>47</v>
      </c>
      <c r="L8" t="s">
        <v>48</v>
      </c>
      <c r="M8" t="s">
        <v>49</v>
      </c>
      <c r="O8">
        <v>3.79</v>
      </c>
      <c r="P8" t="s">
        <v>50</v>
      </c>
      <c r="Q8">
        <v>1</v>
      </c>
      <c r="R8" t="s">
        <v>51</v>
      </c>
      <c r="S8" t="s">
        <v>52</v>
      </c>
      <c r="T8">
        <v>10</v>
      </c>
      <c r="U8" t="s">
        <v>53</v>
      </c>
      <c r="W8" s="2"/>
      <c r="X8" s="2"/>
      <c r="Z8" s="2"/>
      <c r="AA8" s="2"/>
    </row>
    <row r="9" spans="1:43" x14ac:dyDescent="0.45">
      <c r="A9" t="s">
        <v>43</v>
      </c>
      <c r="B9" t="s">
        <v>58</v>
      </c>
      <c r="C9" t="s">
        <v>45</v>
      </c>
      <c r="E9" t="s">
        <v>58</v>
      </c>
      <c r="F9" t="s">
        <v>56</v>
      </c>
      <c r="I9" t="s">
        <v>47</v>
      </c>
      <c r="L9" t="s">
        <v>54</v>
      </c>
      <c r="M9" t="s">
        <v>49</v>
      </c>
      <c r="O9">
        <v>2.85</v>
      </c>
      <c r="P9" t="s">
        <v>50</v>
      </c>
      <c r="Q9">
        <v>96</v>
      </c>
      <c r="R9" t="s">
        <v>51</v>
      </c>
      <c r="S9" t="s">
        <v>52</v>
      </c>
      <c r="T9">
        <v>10</v>
      </c>
      <c r="U9" t="s">
        <v>53</v>
      </c>
      <c r="W9" s="2"/>
      <c r="X9" s="2"/>
      <c r="Z9" s="2"/>
      <c r="AA9" s="2"/>
    </row>
    <row r="10" spans="1:43" x14ac:dyDescent="0.45">
      <c r="A10" t="s">
        <v>43</v>
      </c>
      <c r="B10" t="s">
        <v>59</v>
      </c>
      <c r="C10" t="s">
        <v>45</v>
      </c>
      <c r="E10" t="s">
        <v>59</v>
      </c>
      <c r="F10" t="s">
        <v>56</v>
      </c>
      <c r="I10" t="s">
        <v>47</v>
      </c>
      <c r="L10" t="s">
        <v>54</v>
      </c>
      <c r="M10" t="s">
        <v>49</v>
      </c>
      <c r="O10">
        <v>1000</v>
      </c>
      <c r="P10" t="s">
        <v>50</v>
      </c>
      <c r="Q10">
        <v>96</v>
      </c>
      <c r="R10" t="s">
        <v>51</v>
      </c>
      <c r="S10" t="s">
        <v>52</v>
      </c>
      <c r="T10">
        <v>1</v>
      </c>
      <c r="U10" t="s">
        <v>60</v>
      </c>
      <c r="W10" s="2"/>
      <c r="X10" s="2"/>
      <c r="Z10" s="2"/>
      <c r="AA10" s="2"/>
    </row>
    <row r="11" spans="1:43" x14ac:dyDescent="0.45">
      <c r="A11" t="s">
        <v>43</v>
      </c>
      <c r="B11" t="s">
        <v>61</v>
      </c>
      <c r="C11" t="s">
        <v>45</v>
      </c>
      <c r="E11" t="s">
        <v>61</v>
      </c>
      <c r="F11" t="s">
        <v>56</v>
      </c>
      <c r="I11" t="s">
        <v>47</v>
      </c>
      <c r="L11" t="s">
        <v>48</v>
      </c>
      <c r="M11" t="s">
        <v>49</v>
      </c>
      <c r="O11">
        <v>13.98</v>
      </c>
      <c r="P11" t="s">
        <v>50</v>
      </c>
      <c r="Q11">
        <v>1</v>
      </c>
      <c r="R11" t="s">
        <v>51</v>
      </c>
      <c r="S11" t="s">
        <v>52</v>
      </c>
      <c r="T11">
        <v>10</v>
      </c>
      <c r="U11" t="s">
        <v>53</v>
      </c>
      <c r="W11" s="2"/>
      <c r="X11" s="2"/>
      <c r="Z11" s="2"/>
      <c r="AA11" s="2"/>
    </row>
    <row r="12" spans="1:43" x14ac:dyDescent="0.45">
      <c r="A12" t="s">
        <v>43</v>
      </c>
      <c r="B12" t="s">
        <v>61</v>
      </c>
      <c r="C12" t="s">
        <v>45</v>
      </c>
      <c r="E12" t="s">
        <v>61</v>
      </c>
      <c r="F12" t="s">
        <v>56</v>
      </c>
      <c r="I12" t="s">
        <v>47</v>
      </c>
      <c r="L12" t="s">
        <v>54</v>
      </c>
      <c r="M12" t="s">
        <v>49</v>
      </c>
      <c r="O12">
        <v>0.54500000000000004</v>
      </c>
      <c r="P12" t="s">
        <v>50</v>
      </c>
      <c r="Q12">
        <v>1</v>
      </c>
      <c r="R12" t="s">
        <v>62</v>
      </c>
      <c r="S12" t="s">
        <v>63</v>
      </c>
      <c r="T12">
        <v>10</v>
      </c>
      <c r="U12" t="s">
        <v>53</v>
      </c>
      <c r="W12" s="2"/>
      <c r="X12" s="2"/>
      <c r="Z12" s="2"/>
      <c r="AA12" s="2"/>
    </row>
    <row r="13" spans="1:43" x14ac:dyDescent="0.45">
      <c r="A13" t="s">
        <v>43</v>
      </c>
      <c r="B13" t="s">
        <v>64</v>
      </c>
      <c r="C13" t="s">
        <v>45</v>
      </c>
      <c r="E13" t="s">
        <v>64</v>
      </c>
      <c r="F13" t="s">
        <v>56</v>
      </c>
      <c r="I13" t="s">
        <v>47</v>
      </c>
      <c r="L13" t="s">
        <v>48</v>
      </c>
      <c r="M13" t="s">
        <v>49</v>
      </c>
      <c r="O13">
        <v>1.7</v>
      </c>
      <c r="P13" t="s">
        <v>50</v>
      </c>
      <c r="Q13">
        <v>96</v>
      </c>
      <c r="R13" t="s">
        <v>51</v>
      </c>
      <c r="S13" t="s">
        <v>52</v>
      </c>
      <c r="T13">
        <v>10</v>
      </c>
      <c r="U13" t="s">
        <v>53</v>
      </c>
      <c r="W13" s="2"/>
      <c r="X13" s="2"/>
      <c r="Z13" s="2"/>
      <c r="AA13" s="2"/>
    </row>
    <row r="14" spans="1:43" x14ac:dyDescent="0.45">
      <c r="A14" t="s">
        <v>43</v>
      </c>
      <c r="B14" t="s">
        <v>64</v>
      </c>
      <c r="C14" t="s">
        <v>45</v>
      </c>
      <c r="E14" t="s">
        <v>64</v>
      </c>
      <c r="F14" t="s">
        <v>56</v>
      </c>
      <c r="I14" t="s">
        <v>47</v>
      </c>
      <c r="L14" t="s">
        <v>54</v>
      </c>
      <c r="M14" t="s">
        <v>49</v>
      </c>
      <c r="O14">
        <v>0.91</v>
      </c>
      <c r="P14" t="s">
        <v>50</v>
      </c>
      <c r="Q14">
        <v>1</v>
      </c>
      <c r="R14" t="s">
        <v>62</v>
      </c>
      <c r="S14" t="s">
        <v>63</v>
      </c>
      <c r="T14">
        <v>10</v>
      </c>
      <c r="U14" t="s">
        <v>53</v>
      </c>
      <c r="W14" s="2"/>
      <c r="X14" s="2"/>
      <c r="Z14" s="2"/>
      <c r="AA14" s="2"/>
    </row>
    <row r="15" spans="1:43" x14ac:dyDescent="0.45">
      <c r="A15" t="s">
        <v>43</v>
      </c>
      <c r="B15" t="s">
        <v>65</v>
      </c>
      <c r="C15" t="s">
        <v>45</v>
      </c>
      <c r="E15" t="s">
        <v>66</v>
      </c>
      <c r="F15" t="s">
        <v>67</v>
      </c>
      <c r="I15" t="s">
        <v>47</v>
      </c>
      <c r="K15" t="s">
        <v>68</v>
      </c>
      <c r="M15" t="s">
        <v>49</v>
      </c>
      <c r="N15">
        <v>6.5</v>
      </c>
      <c r="P15" t="s">
        <v>69</v>
      </c>
      <c r="Q15">
        <v>30</v>
      </c>
      <c r="R15" t="s">
        <v>62</v>
      </c>
      <c r="S15" t="s">
        <v>52</v>
      </c>
      <c r="T15">
        <v>1</v>
      </c>
      <c r="U15" t="s">
        <v>60</v>
      </c>
      <c r="W15" s="2"/>
      <c r="X15" s="2"/>
      <c r="Z15" s="2"/>
      <c r="AA15" s="2"/>
    </row>
    <row r="16" spans="1:43" x14ac:dyDescent="0.45">
      <c r="A16" t="s">
        <v>43</v>
      </c>
      <c r="B16" t="s">
        <v>65</v>
      </c>
      <c r="C16" t="s">
        <v>45</v>
      </c>
      <c r="E16" t="s">
        <v>66</v>
      </c>
      <c r="F16" t="s">
        <v>67</v>
      </c>
      <c r="I16" t="s">
        <v>47</v>
      </c>
      <c r="K16" t="s">
        <v>68</v>
      </c>
      <c r="M16" t="s">
        <v>49</v>
      </c>
      <c r="N16">
        <v>9.5</v>
      </c>
      <c r="P16" t="s">
        <v>69</v>
      </c>
      <c r="Q16">
        <v>7</v>
      </c>
      <c r="R16" t="s">
        <v>62</v>
      </c>
      <c r="S16" t="s">
        <v>52</v>
      </c>
      <c r="T16">
        <v>1</v>
      </c>
      <c r="U16" t="s">
        <v>60</v>
      </c>
      <c r="W16" s="2"/>
      <c r="X16" s="2"/>
      <c r="Z16" s="2"/>
      <c r="AA16" s="2"/>
    </row>
    <row r="17" spans="1:27" x14ac:dyDescent="0.45">
      <c r="A17" t="s">
        <v>43</v>
      </c>
      <c r="B17" t="s">
        <v>65</v>
      </c>
      <c r="C17" t="s">
        <v>45</v>
      </c>
      <c r="E17" t="s">
        <v>66</v>
      </c>
      <c r="F17" t="s">
        <v>67</v>
      </c>
      <c r="I17" t="s">
        <v>47</v>
      </c>
      <c r="K17" t="s">
        <v>68</v>
      </c>
      <c r="M17" t="s">
        <v>49</v>
      </c>
      <c r="N17">
        <v>5</v>
      </c>
      <c r="P17" t="s">
        <v>69</v>
      </c>
      <c r="Q17">
        <v>7</v>
      </c>
      <c r="R17" t="s">
        <v>62</v>
      </c>
      <c r="S17" t="s">
        <v>70</v>
      </c>
      <c r="T17">
        <v>1</v>
      </c>
      <c r="U17" t="s">
        <v>60</v>
      </c>
      <c r="W17" s="2"/>
      <c r="X17" s="2"/>
      <c r="Z17" s="2"/>
      <c r="AA17" s="2"/>
    </row>
    <row r="18" spans="1:27" x14ac:dyDescent="0.45">
      <c r="A18" t="s">
        <v>43</v>
      </c>
      <c r="B18" t="s">
        <v>65</v>
      </c>
      <c r="C18" t="s">
        <v>45</v>
      </c>
      <c r="E18" t="s">
        <v>66</v>
      </c>
      <c r="F18" t="s">
        <v>67</v>
      </c>
      <c r="I18" t="s">
        <v>47</v>
      </c>
      <c r="K18" t="s">
        <v>68</v>
      </c>
      <c r="M18" t="s">
        <v>49</v>
      </c>
      <c r="N18">
        <v>8</v>
      </c>
      <c r="P18" t="s">
        <v>69</v>
      </c>
      <c r="Q18">
        <v>1</v>
      </c>
      <c r="R18" t="s">
        <v>62</v>
      </c>
      <c r="S18" t="s">
        <v>71</v>
      </c>
      <c r="T18">
        <v>1</v>
      </c>
      <c r="U18" t="s">
        <v>60</v>
      </c>
      <c r="W18" s="2"/>
      <c r="X18" s="2"/>
      <c r="Z18" s="2"/>
      <c r="AA18" s="2"/>
    </row>
    <row r="19" spans="1:27" x14ac:dyDescent="0.45">
      <c r="A19" t="s">
        <v>43</v>
      </c>
      <c r="B19" t="s">
        <v>65</v>
      </c>
      <c r="C19" t="s">
        <v>45</v>
      </c>
      <c r="E19" t="s">
        <v>66</v>
      </c>
      <c r="F19" t="s">
        <v>67</v>
      </c>
      <c r="I19" t="s">
        <v>47</v>
      </c>
      <c r="K19" t="s">
        <v>68</v>
      </c>
      <c r="M19" t="s">
        <v>49</v>
      </c>
      <c r="N19">
        <v>4</v>
      </c>
      <c r="P19" t="s">
        <v>69</v>
      </c>
      <c r="Q19">
        <v>1</v>
      </c>
      <c r="R19" t="s">
        <v>62</v>
      </c>
      <c r="S19" t="s">
        <v>71</v>
      </c>
      <c r="T19">
        <v>1</v>
      </c>
      <c r="U19" t="s">
        <v>60</v>
      </c>
      <c r="W19" s="2"/>
      <c r="X19" s="2"/>
      <c r="Z19" s="2"/>
      <c r="AA19" s="2"/>
    </row>
    <row r="20" spans="1:27" x14ac:dyDescent="0.45">
      <c r="A20" t="s">
        <v>43</v>
      </c>
      <c r="B20" t="s">
        <v>65</v>
      </c>
      <c r="C20" t="s">
        <v>45</v>
      </c>
      <c r="E20" t="s">
        <v>66</v>
      </c>
      <c r="F20" t="s">
        <v>67</v>
      </c>
      <c r="I20" t="s">
        <v>47</v>
      </c>
      <c r="K20" t="s">
        <v>72</v>
      </c>
      <c r="M20" t="s">
        <v>49</v>
      </c>
      <c r="N20">
        <v>5.5</v>
      </c>
      <c r="P20" t="s">
        <v>69</v>
      </c>
      <c r="Q20">
        <v>30</v>
      </c>
      <c r="R20" t="s">
        <v>62</v>
      </c>
      <c r="S20" t="s">
        <v>52</v>
      </c>
      <c r="T20">
        <v>1</v>
      </c>
      <c r="U20" t="s">
        <v>60</v>
      </c>
      <c r="W20" s="2"/>
      <c r="X20" s="2"/>
      <c r="Z20" s="2"/>
      <c r="AA20" s="2"/>
    </row>
    <row r="21" spans="1:27" x14ac:dyDescent="0.45">
      <c r="A21" t="s">
        <v>43</v>
      </c>
      <c r="B21" t="s">
        <v>65</v>
      </c>
      <c r="C21" t="s">
        <v>45</v>
      </c>
      <c r="E21" t="s">
        <v>66</v>
      </c>
      <c r="F21" t="s">
        <v>67</v>
      </c>
      <c r="I21" t="s">
        <v>47</v>
      </c>
      <c r="K21" t="s">
        <v>73</v>
      </c>
      <c r="M21" t="s">
        <v>49</v>
      </c>
      <c r="N21">
        <v>6</v>
      </c>
      <c r="P21" t="s">
        <v>69</v>
      </c>
      <c r="Q21">
        <v>7</v>
      </c>
      <c r="R21" t="s">
        <v>62</v>
      </c>
      <c r="S21" t="s">
        <v>52</v>
      </c>
      <c r="T21">
        <v>1</v>
      </c>
      <c r="U21" t="s">
        <v>60</v>
      </c>
      <c r="W21" s="2"/>
      <c r="X21" s="2"/>
      <c r="Y21" t="s">
        <v>74</v>
      </c>
      <c r="Z21" s="2"/>
      <c r="AA21" s="2"/>
    </row>
    <row r="22" spans="1:27" x14ac:dyDescent="0.45">
      <c r="A22" t="s">
        <v>43</v>
      </c>
      <c r="B22" t="s">
        <v>65</v>
      </c>
      <c r="C22" t="s">
        <v>45</v>
      </c>
      <c r="E22" t="s">
        <v>66</v>
      </c>
      <c r="F22" t="s">
        <v>67</v>
      </c>
      <c r="I22" t="s">
        <v>47</v>
      </c>
      <c r="K22" t="s">
        <v>75</v>
      </c>
      <c r="M22" t="s">
        <v>49</v>
      </c>
      <c r="N22">
        <v>6</v>
      </c>
      <c r="P22" t="s">
        <v>69</v>
      </c>
      <c r="Q22">
        <v>7</v>
      </c>
      <c r="R22" t="s">
        <v>62</v>
      </c>
      <c r="S22" t="s">
        <v>52</v>
      </c>
      <c r="T22">
        <v>1</v>
      </c>
      <c r="U22" t="s">
        <v>60</v>
      </c>
      <c r="W22" s="2"/>
      <c r="X22" s="2"/>
      <c r="Y22" t="s">
        <v>76</v>
      </c>
      <c r="Z22" s="2"/>
      <c r="AA22" s="2"/>
    </row>
    <row r="23" spans="1:27" x14ac:dyDescent="0.45">
      <c r="A23" t="s">
        <v>43</v>
      </c>
      <c r="B23" t="s">
        <v>65</v>
      </c>
      <c r="C23" t="s">
        <v>45</v>
      </c>
      <c r="E23" t="s">
        <v>66</v>
      </c>
      <c r="F23" t="s">
        <v>67</v>
      </c>
      <c r="I23" t="s">
        <v>47</v>
      </c>
      <c r="K23" t="s">
        <v>72</v>
      </c>
      <c r="M23" t="s">
        <v>49</v>
      </c>
      <c r="N23">
        <v>4</v>
      </c>
      <c r="P23" t="s">
        <v>69</v>
      </c>
      <c r="Q23">
        <v>7</v>
      </c>
      <c r="R23" t="s">
        <v>62</v>
      </c>
      <c r="S23" t="s">
        <v>70</v>
      </c>
      <c r="T23">
        <v>1</v>
      </c>
      <c r="U23" t="s">
        <v>60</v>
      </c>
      <c r="W23" s="2"/>
      <c r="X23" s="2"/>
      <c r="Z23" s="2"/>
      <c r="AA23" s="2"/>
    </row>
    <row r="24" spans="1:27" x14ac:dyDescent="0.45">
      <c r="A24" t="s">
        <v>43</v>
      </c>
      <c r="B24" t="s">
        <v>65</v>
      </c>
      <c r="C24" t="s">
        <v>45</v>
      </c>
      <c r="E24" t="s">
        <v>66</v>
      </c>
      <c r="F24" t="s">
        <v>67</v>
      </c>
      <c r="I24" t="s">
        <v>47</v>
      </c>
      <c r="K24" t="s">
        <v>73</v>
      </c>
      <c r="M24" t="s">
        <v>49</v>
      </c>
      <c r="N24">
        <v>5</v>
      </c>
      <c r="P24" t="s">
        <v>69</v>
      </c>
      <c r="Q24">
        <v>1</v>
      </c>
      <c r="R24" t="s">
        <v>62</v>
      </c>
      <c r="S24" t="s">
        <v>71</v>
      </c>
      <c r="T24">
        <v>1</v>
      </c>
      <c r="U24" t="s">
        <v>60</v>
      </c>
      <c r="W24" s="2"/>
      <c r="X24" s="2"/>
      <c r="Y24" t="s">
        <v>74</v>
      </c>
      <c r="Z24" s="2"/>
      <c r="AA24" s="2"/>
    </row>
    <row r="25" spans="1:27" x14ac:dyDescent="0.45">
      <c r="A25" t="s">
        <v>43</v>
      </c>
      <c r="B25" t="s">
        <v>65</v>
      </c>
      <c r="C25" t="s">
        <v>45</v>
      </c>
      <c r="E25" t="s">
        <v>66</v>
      </c>
      <c r="F25" t="s">
        <v>67</v>
      </c>
      <c r="I25" t="s">
        <v>47</v>
      </c>
      <c r="K25" t="s">
        <v>77</v>
      </c>
      <c r="M25" t="s">
        <v>49</v>
      </c>
      <c r="N25">
        <v>5</v>
      </c>
      <c r="P25" t="s">
        <v>69</v>
      </c>
      <c r="Q25">
        <v>1</v>
      </c>
      <c r="R25" t="s">
        <v>62</v>
      </c>
      <c r="S25" t="s">
        <v>71</v>
      </c>
      <c r="T25">
        <v>1</v>
      </c>
      <c r="U25" t="s">
        <v>60</v>
      </c>
      <c r="W25" s="2"/>
      <c r="X25" s="2"/>
      <c r="Y25" t="s">
        <v>76</v>
      </c>
      <c r="Z25" s="2"/>
      <c r="AA25" s="2"/>
    </row>
    <row r="26" spans="1:27" x14ac:dyDescent="0.45">
      <c r="A26" t="s">
        <v>43</v>
      </c>
      <c r="B26" t="s">
        <v>65</v>
      </c>
      <c r="C26" t="s">
        <v>45</v>
      </c>
      <c r="E26" t="s">
        <v>66</v>
      </c>
      <c r="F26" t="s">
        <v>67</v>
      </c>
      <c r="I26" t="s">
        <v>47</v>
      </c>
      <c r="K26" t="s">
        <v>72</v>
      </c>
      <c r="M26" t="s">
        <v>49</v>
      </c>
      <c r="N26">
        <v>3</v>
      </c>
      <c r="P26" t="s">
        <v>69</v>
      </c>
      <c r="Q26">
        <v>1</v>
      </c>
      <c r="R26" t="s">
        <v>62</v>
      </c>
      <c r="S26" t="s">
        <v>71</v>
      </c>
      <c r="T26">
        <v>1</v>
      </c>
      <c r="U26" t="s">
        <v>60</v>
      </c>
      <c r="W26" s="2"/>
      <c r="X26" s="2"/>
      <c r="Z26" s="2"/>
      <c r="AA26" s="2"/>
    </row>
    <row r="27" spans="1:27" x14ac:dyDescent="0.45">
      <c r="A27" t="s">
        <v>43</v>
      </c>
      <c r="B27" t="s">
        <v>78</v>
      </c>
      <c r="C27" t="s">
        <v>45</v>
      </c>
      <c r="E27" t="s">
        <v>78</v>
      </c>
      <c r="F27" t="s">
        <v>56</v>
      </c>
      <c r="I27" t="s">
        <v>47</v>
      </c>
      <c r="L27" t="s">
        <v>48</v>
      </c>
      <c r="M27" t="s">
        <v>49</v>
      </c>
      <c r="O27">
        <v>20</v>
      </c>
      <c r="P27" t="s">
        <v>50</v>
      </c>
      <c r="Q27">
        <v>1</v>
      </c>
      <c r="R27" t="s">
        <v>51</v>
      </c>
      <c r="S27" t="s">
        <v>52</v>
      </c>
      <c r="T27">
        <v>10</v>
      </c>
      <c r="U27" t="s">
        <v>53</v>
      </c>
      <c r="W27" s="2"/>
      <c r="X27" s="2"/>
      <c r="Z27" s="2"/>
      <c r="AA27" s="2"/>
    </row>
    <row r="28" spans="1:27" x14ac:dyDescent="0.45">
      <c r="A28" t="s">
        <v>43</v>
      </c>
      <c r="B28" t="s">
        <v>78</v>
      </c>
      <c r="C28" t="s">
        <v>45</v>
      </c>
      <c r="E28" t="s">
        <v>78</v>
      </c>
      <c r="F28" t="s">
        <v>56</v>
      </c>
      <c r="I28" t="s">
        <v>47</v>
      </c>
      <c r="L28" t="s">
        <v>54</v>
      </c>
      <c r="M28" t="s">
        <v>49</v>
      </c>
      <c r="O28">
        <v>5</v>
      </c>
      <c r="P28" t="s">
        <v>50</v>
      </c>
      <c r="Q28">
        <v>96</v>
      </c>
      <c r="R28" t="s">
        <v>51</v>
      </c>
      <c r="S28" t="s">
        <v>52</v>
      </c>
      <c r="T28">
        <v>10</v>
      </c>
      <c r="U28" t="s">
        <v>53</v>
      </c>
      <c r="W28" s="2"/>
      <c r="X28" s="2"/>
      <c r="Z28" s="2"/>
      <c r="AA28" s="2"/>
    </row>
    <row r="29" spans="1:27" x14ac:dyDescent="0.45">
      <c r="A29" t="s">
        <v>43</v>
      </c>
      <c r="B29" t="s">
        <v>55</v>
      </c>
      <c r="C29" t="s">
        <v>79</v>
      </c>
      <c r="E29" t="s">
        <v>55</v>
      </c>
      <c r="F29" t="s">
        <v>56</v>
      </c>
      <c r="I29" t="s">
        <v>47</v>
      </c>
      <c r="M29" t="s">
        <v>49</v>
      </c>
      <c r="O29">
        <v>10</v>
      </c>
      <c r="P29" t="s">
        <v>50</v>
      </c>
      <c r="Q29">
        <v>1</v>
      </c>
      <c r="R29" t="s">
        <v>62</v>
      </c>
      <c r="S29" t="s">
        <v>63</v>
      </c>
      <c r="T29">
        <v>1</v>
      </c>
      <c r="U29" t="s">
        <v>60</v>
      </c>
      <c r="W29" s="2"/>
      <c r="X29" s="2"/>
      <c r="Z29" s="2"/>
      <c r="AA29" s="2"/>
    </row>
    <row r="30" spans="1:27" x14ac:dyDescent="0.45">
      <c r="A30" t="s">
        <v>43</v>
      </c>
      <c r="B30" t="s">
        <v>80</v>
      </c>
      <c r="C30" t="s">
        <v>79</v>
      </c>
      <c r="E30" t="s">
        <v>80</v>
      </c>
      <c r="F30" t="s">
        <v>56</v>
      </c>
      <c r="I30" t="s">
        <v>47</v>
      </c>
      <c r="M30" t="s">
        <v>49</v>
      </c>
      <c r="O30">
        <v>1000</v>
      </c>
      <c r="P30" t="s">
        <v>50</v>
      </c>
      <c r="Q30">
        <v>1</v>
      </c>
      <c r="R30" t="s">
        <v>62</v>
      </c>
      <c r="S30" t="s">
        <v>63</v>
      </c>
      <c r="T30">
        <v>1</v>
      </c>
      <c r="U30" t="s">
        <v>60</v>
      </c>
      <c r="W30" s="2"/>
      <c r="X30" s="2"/>
      <c r="Z30" s="2"/>
      <c r="AA30" s="2"/>
    </row>
    <row r="31" spans="1:27" x14ac:dyDescent="0.45">
      <c r="A31" t="s">
        <v>43</v>
      </c>
      <c r="B31" t="s">
        <v>81</v>
      </c>
      <c r="C31" t="s">
        <v>79</v>
      </c>
      <c r="E31" t="s">
        <v>81</v>
      </c>
      <c r="F31" t="s">
        <v>56</v>
      </c>
      <c r="I31" t="s">
        <v>47</v>
      </c>
      <c r="M31" t="s">
        <v>49</v>
      </c>
      <c r="O31">
        <v>4</v>
      </c>
      <c r="P31" t="s">
        <v>50</v>
      </c>
      <c r="Q31">
        <v>1</v>
      </c>
      <c r="R31" t="s">
        <v>62</v>
      </c>
      <c r="S31" t="s">
        <v>63</v>
      </c>
      <c r="T31">
        <v>1</v>
      </c>
      <c r="U31" t="s">
        <v>60</v>
      </c>
      <c r="W31" s="2"/>
      <c r="X31" s="2"/>
      <c r="Z31" s="2"/>
      <c r="AA31" s="2"/>
    </row>
    <row r="32" spans="1:27" x14ac:dyDescent="0.45">
      <c r="A32" t="s">
        <v>43</v>
      </c>
      <c r="B32" t="s">
        <v>57</v>
      </c>
      <c r="C32" t="s">
        <v>79</v>
      </c>
      <c r="E32" t="s">
        <v>57</v>
      </c>
      <c r="F32" t="s">
        <v>56</v>
      </c>
      <c r="I32" t="s">
        <v>47</v>
      </c>
      <c r="M32" t="s">
        <v>49</v>
      </c>
      <c r="O32">
        <v>5</v>
      </c>
      <c r="P32" t="s">
        <v>50</v>
      </c>
      <c r="Q32">
        <v>1</v>
      </c>
      <c r="R32" t="s">
        <v>62</v>
      </c>
      <c r="S32" t="s">
        <v>63</v>
      </c>
      <c r="T32">
        <v>1</v>
      </c>
      <c r="U32" t="s">
        <v>60</v>
      </c>
      <c r="W32" s="2"/>
      <c r="X32" s="2"/>
      <c r="Z32" s="2"/>
      <c r="AA32" s="2"/>
    </row>
    <row r="33" spans="1:27" x14ac:dyDescent="0.45">
      <c r="A33" t="s">
        <v>43</v>
      </c>
      <c r="B33" t="s">
        <v>58</v>
      </c>
      <c r="C33" t="s">
        <v>79</v>
      </c>
      <c r="E33" t="s">
        <v>58</v>
      </c>
      <c r="F33" t="s">
        <v>56</v>
      </c>
      <c r="I33" t="s">
        <v>47</v>
      </c>
      <c r="M33" t="s">
        <v>49</v>
      </c>
      <c r="O33">
        <v>1300</v>
      </c>
      <c r="P33" t="s">
        <v>50</v>
      </c>
      <c r="Q33">
        <v>1</v>
      </c>
      <c r="R33" t="s">
        <v>62</v>
      </c>
      <c r="S33" t="s">
        <v>63</v>
      </c>
      <c r="T33">
        <v>1</v>
      </c>
      <c r="U33" t="s">
        <v>60</v>
      </c>
      <c r="W33" s="2"/>
      <c r="X33" s="2"/>
      <c r="Z33" s="2"/>
      <c r="AA33" s="2"/>
    </row>
    <row r="34" spans="1:27" x14ac:dyDescent="0.45">
      <c r="A34" t="s">
        <v>43</v>
      </c>
      <c r="B34" t="s">
        <v>61</v>
      </c>
      <c r="C34" t="s">
        <v>79</v>
      </c>
      <c r="E34" t="s">
        <v>61</v>
      </c>
      <c r="F34" t="s">
        <v>56</v>
      </c>
      <c r="I34" t="s">
        <v>47</v>
      </c>
      <c r="M34" t="s">
        <v>49</v>
      </c>
      <c r="O34">
        <v>15</v>
      </c>
      <c r="P34" t="s">
        <v>50</v>
      </c>
      <c r="Q34">
        <v>1</v>
      </c>
      <c r="R34" t="s">
        <v>62</v>
      </c>
      <c r="S34" t="s">
        <v>63</v>
      </c>
      <c r="T34">
        <v>1</v>
      </c>
      <c r="U34" t="s">
        <v>60</v>
      </c>
      <c r="W34" s="2"/>
      <c r="X34" s="2"/>
      <c r="Z34" s="2"/>
      <c r="AA34" s="2"/>
    </row>
    <row r="35" spans="1:27" x14ac:dyDescent="0.45">
      <c r="A35" t="s">
        <v>43</v>
      </c>
      <c r="B35" t="s">
        <v>64</v>
      </c>
      <c r="C35" t="s">
        <v>79</v>
      </c>
      <c r="E35" t="s">
        <v>64</v>
      </c>
      <c r="F35" t="s">
        <v>56</v>
      </c>
      <c r="I35" t="s">
        <v>47</v>
      </c>
      <c r="M35" t="s">
        <v>49</v>
      </c>
      <c r="O35">
        <v>0.05</v>
      </c>
      <c r="P35" t="s">
        <v>50</v>
      </c>
      <c r="Q35">
        <v>1</v>
      </c>
      <c r="R35" t="s">
        <v>51</v>
      </c>
      <c r="S35" t="s">
        <v>52</v>
      </c>
      <c r="T35">
        <v>1</v>
      </c>
      <c r="U35" t="s">
        <v>60</v>
      </c>
      <c r="W35" s="2"/>
      <c r="X35" s="2"/>
      <c r="Z35" s="2"/>
      <c r="AA35" s="2"/>
    </row>
    <row r="36" spans="1:27" x14ac:dyDescent="0.45">
      <c r="A36" t="s">
        <v>43</v>
      </c>
      <c r="B36" t="s">
        <v>78</v>
      </c>
      <c r="C36" t="s">
        <v>79</v>
      </c>
      <c r="E36" t="s">
        <v>78</v>
      </c>
      <c r="F36" t="s">
        <v>56</v>
      </c>
      <c r="I36" t="s">
        <v>47</v>
      </c>
      <c r="M36" t="s">
        <v>49</v>
      </c>
      <c r="O36">
        <v>50</v>
      </c>
      <c r="P36" t="s">
        <v>50</v>
      </c>
      <c r="Q36">
        <v>1</v>
      </c>
      <c r="R36" t="s">
        <v>62</v>
      </c>
      <c r="S36" t="s">
        <v>63</v>
      </c>
      <c r="T36">
        <v>1</v>
      </c>
      <c r="U36" t="s">
        <v>60</v>
      </c>
      <c r="W36" s="2"/>
      <c r="X36" s="2"/>
      <c r="Z36" s="2"/>
      <c r="AA36" s="2"/>
    </row>
    <row r="37" spans="1:27" x14ac:dyDescent="0.45">
      <c r="A37" t="s">
        <v>43</v>
      </c>
      <c r="B37" t="s">
        <v>82</v>
      </c>
      <c r="C37" t="s">
        <v>79</v>
      </c>
      <c r="E37" t="s">
        <v>82</v>
      </c>
      <c r="F37" t="s">
        <v>56</v>
      </c>
      <c r="I37" t="s">
        <v>47</v>
      </c>
      <c r="M37" t="s">
        <v>49</v>
      </c>
      <c r="O37">
        <v>0.24</v>
      </c>
      <c r="P37" t="s">
        <v>50</v>
      </c>
      <c r="Q37">
        <v>1</v>
      </c>
      <c r="R37" t="s">
        <v>62</v>
      </c>
      <c r="S37" t="s">
        <v>63</v>
      </c>
      <c r="T37">
        <v>1</v>
      </c>
      <c r="U37" t="s">
        <v>60</v>
      </c>
      <c r="W37" s="2"/>
      <c r="X37" s="2"/>
      <c r="Z37" s="2"/>
      <c r="AA37" s="2"/>
    </row>
  </sheetData>
  <phoneticPr fontId="3" type="noConversion"/>
  <conditionalFormatting sqref="A2:AE37">
    <cfRule type="containsBlanks" dxfId="1" priority="1">
      <formula>LEN(TRIM(A2))=0</formula>
    </cfRule>
    <cfRule type="notContainsBlanks" dxfId="0" priority="2">
      <formula>LEN(TRIM(A2))&gt;0</formula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000-000000000000}">
          <x14:formula1>
            <xm:f>'Index-Criteria'!$F$2:$F$1000</xm:f>
          </x14:formula1>
          <xm:sqref>D2:D967</xm:sqref>
        </x14:dataValidation>
        <x14:dataValidation type="list" allowBlank="1" showInputMessage="1" showErrorMessage="1" xr:uid="{00000000-0002-0000-0000-000001000000}">
          <x14:formula1>
            <xm:f>'Index-Criteria'!$G$2:$G$1000</xm:f>
          </x14:formula1>
          <xm:sqref>E2:E967</xm:sqref>
        </x14:dataValidation>
        <x14:dataValidation type="list" allowBlank="1" showInputMessage="1" showErrorMessage="1" xr:uid="{00000000-0002-0000-0000-000002000000}">
          <x14:formula1>
            <xm:f>'Index-Criteria'!$H$2:$H$1000</xm:f>
          </x14:formula1>
          <xm:sqref>F2:F967</xm:sqref>
        </x14:dataValidation>
        <x14:dataValidation type="list" allowBlank="1" showInputMessage="1" showErrorMessage="1" xr:uid="{00000000-0002-0000-0000-000003000000}">
          <x14:formula1>
            <xm:f>'Index-Criteria'!$I$2:$I$1000</xm:f>
          </x14:formula1>
          <xm:sqref>G2:G967</xm:sqref>
        </x14:dataValidation>
        <x14:dataValidation type="list" allowBlank="1" showInputMessage="1" showErrorMessage="1" xr:uid="{00000000-0002-0000-0000-000004000000}">
          <x14:formula1>
            <xm:f>'Index-Criteria'!$J$2:$J$1000</xm:f>
          </x14:formula1>
          <xm:sqref>H2:H967</xm:sqref>
        </x14:dataValidation>
        <x14:dataValidation type="list" allowBlank="1" showInputMessage="1" showErrorMessage="1" xr:uid="{00000000-0002-0000-0000-000005000000}">
          <x14:formula1>
            <xm:f>'Index-Criteria'!$K$2:$K$1000</xm:f>
          </x14:formula1>
          <xm:sqref>I2:I967</xm:sqref>
        </x14:dataValidation>
        <x14:dataValidation type="list" allowBlank="1" showInputMessage="1" showErrorMessage="1" xr:uid="{00000000-0002-0000-0000-000006000000}">
          <x14:formula1>
            <xm:f>'Index-Criteria'!$L$2:$L$1000</xm:f>
          </x14:formula1>
          <xm:sqref>J2:J967</xm:sqref>
        </x14:dataValidation>
        <x14:dataValidation type="list" allowBlank="1" showInputMessage="1" showErrorMessage="1" xr:uid="{00000000-0002-0000-0000-000007000000}">
          <x14:formula1>
            <xm:f>'Index-Criteria'!$M$2:$M$1000</xm:f>
          </x14:formula1>
          <xm:sqref>K2:K967</xm:sqref>
        </x14:dataValidation>
        <x14:dataValidation type="list" allowBlank="1" showInputMessage="1" showErrorMessage="1" xr:uid="{00000000-0002-0000-0000-000008000000}">
          <x14:formula1>
            <xm:f>'Index-Criteria'!$N$2:$N$1000</xm:f>
          </x14:formula1>
          <xm:sqref>L2:L967</xm:sqref>
        </x14:dataValidation>
        <x14:dataValidation type="list" allowBlank="1" showInputMessage="1" showErrorMessage="1" xr:uid="{00000000-0002-0000-0000-000009000000}">
          <x14:formula1>
            <xm:f>'Index-Criteria'!$O$2:$O$1000</xm:f>
          </x14:formula1>
          <xm:sqref>M2:M967</xm:sqref>
        </x14:dataValidation>
        <x14:dataValidation type="list" allowBlank="1" showInputMessage="1" showErrorMessage="1" xr:uid="{00000000-0002-0000-0000-00000A000000}">
          <x14:formula1>
            <xm:f>'Index-Criteria'!$R$2:$R$1000</xm:f>
          </x14:formula1>
          <xm:sqref>P2:P967</xm:sqref>
        </x14:dataValidation>
        <x14:dataValidation type="list" allowBlank="1" showInputMessage="1" showErrorMessage="1" xr:uid="{00000000-0002-0000-0000-00000B000000}">
          <x14:formula1>
            <xm:f>'Index-Criteria'!$T$2:$T$1000</xm:f>
          </x14:formula1>
          <xm:sqref>R2:R967</xm:sqref>
        </x14:dataValidation>
        <x14:dataValidation type="list" allowBlank="1" showInputMessage="1" showErrorMessage="1" xr:uid="{00000000-0002-0000-0000-00000C000000}">
          <x14:formula1>
            <xm:f>'Index-Criteria'!$U$2:$U$1000</xm:f>
          </x14:formula1>
          <xm:sqref>S2:S967</xm:sqref>
        </x14:dataValidation>
        <x14:dataValidation type="list" allowBlank="1" showInputMessage="1" showErrorMessage="1" xr:uid="{00000000-0002-0000-0000-00000D000000}">
          <x14:formula1>
            <xm:f>'Index-Criteria'!$W$2:$W$1000</xm:f>
          </x14:formula1>
          <xm:sqref>U2:U967</xm:sqref>
        </x14:dataValidation>
        <x14:dataValidation type="list" allowBlank="1" showInputMessage="1" showErrorMessage="1" xr:uid="{00000000-0002-0000-0000-00000E000000}">
          <x14:formula1>
            <xm:f>'Index-Criteria'!$X$2:$X$1000</xm:f>
          </x14:formula1>
          <xm:sqref>V2:V967</xm:sqref>
        </x14:dataValidation>
        <x14:dataValidation type="list" allowBlank="1" showInputMessage="1" showErrorMessage="1" xr:uid="{00000000-0002-0000-0000-00000F000000}">
          <x14:formula1>
            <xm:f>'Index-Criteria'!$AA$2:$AA$1000</xm:f>
          </x14:formula1>
          <xm:sqref>Y2:Y967</xm:sqref>
        </x14:dataValidation>
        <x14:dataValidation type="list" allowBlank="1" showInputMessage="1" showErrorMessage="1" xr:uid="{00000000-0002-0000-0000-000010000000}">
          <x14:formula1>
            <xm:f>'Index-Criteria'!$AE$2:$AE$1000</xm:f>
          </x14:formula1>
          <xm:sqref>AC2:AC967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AE71"/>
  <sheetViews>
    <sheetView zoomScale="90" workbookViewId="0"/>
  </sheetViews>
  <sheetFormatPr defaultColWidth="10.6640625" defaultRowHeight="14.25" x14ac:dyDescent="0.45"/>
  <sheetData>
    <row r="1" spans="6:31" x14ac:dyDescent="0.45">
      <c r="F1" t="s">
        <v>3</v>
      </c>
      <c r="G1" t="s">
        <v>4</v>
      </c>
      <c r="H1" t="s">
        <v>5</v>
      </c>
      <c r="I1" t="s">
        <v>6</v>
      </c>
      <c r="J1" t="s">
        <v>201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R1" t="s">
        <v>15</v>
      </c>
      <c r="T1" t="s">
        <v>17</v>
      </c>
      <c r="U1" t="s">
        <v>18</v>
      </c>
      <c r="W1" t="s">
        <v>20</v>
      </c>
      <c r="X1" t="s">
        <v>21</v>
      </c>
      <c r="AA1" t="s">
        <v>24</v>
      </c>
      <c r="AE1" t="s">
        <v>28</v>
      </c>
    </row>
    <row r="2" spans="6:31" x14ac:dyDescent="0.45">
      <c r="F2" t="s">
        <v>116</v>
      </c>
      <c r="G2" t="s">
        <v>83</v>
      </c>
      <c r="H2" t="s">
        <v>117</v>
      </c>
      <c r="J2" t="s">
        <v>202</v>
      </c>
      <c r="K2" t="s">
        <v>203</v>
      </c>
      <c r="L2" t="s">
        <v>205</v>
      </c>
      <c r="N2" t="s">
        <v>48</v>
      </c>
      <c r="O2" t="s">
        <v>210</v>
      </c>
      <c r="R2" t="s">
        <v>211</v>
      </c>
      <c r="T2" t="s">
        <v>51</v>
      </c>
      <c r="U2" t="s">
        <v>52</v>
      </c>
      <c r="W2" t="s">
        <v>53</v>
      </c>
      <c r="X2" t="s">
        <v>230</v>
      </c>
      <c r="AA2" t="s">
        <v>235</v>
      </c>
      <c r="AE2" t="s">
        <v>239</v>
      </c>
    </row>
    <row r="3" spans="6:31" x14ac:dyDescent="0.45">
      <c r="F3" t="s">
        <v>118</v>
      </c>
      <c r="G3" t="s">
        <v>84</v>
      </c>
      <c r="K3" t="s">
        <v>47</v>
      </c>
      <c r="L3" t="s">
        <v>206</v>
      </c>
      <c r="M3" t="s">
        <v>204</v>
      </c>
      <c r="N3" t="s">
        <v>54</v>
      </c>
      <c r="O3" t="s">
        <v>49</v>
      </c>
      <c r="R3" t="s">
        <v>212</v>
      </c>
      <c r="T3" t="s">
        <v>62</v>
      </c>
      <c r="U3" t="s">
        <v>221</v>
      </c>
      <c r="W3" t="s">
        <v>225</v>
      </c>
      <c r="X3" t="s">
        <v>231</v>
      </c>
      <c r="AA3" t="s">
        <v>236</v>
      </c>
      <c r="AE3" t="s">
        <v>240</v>
      </c>
    </row>
    <row r="4" spans="6:31" x14ac:dyDescent="0.45">
      <c r="F4" t="s">
        <v>119</v>
      </c>
      <c r="G4" t="s">
        <v>66</v>
      </c>
      <c r="H4" t="s">
        <v>120</v>
      </c>
      <c r="I4" t="s">
        <v>120</v>
      </c>
      <c r="K4" t="s">
        <v>204</v>
      </c>
      <c r="L4" t="s">
        <v>207</v>
      </c>
      <c r="N4" t="s">
        <v>204</v>
      </c>
      <c r="O4" t="s">
        <v>204</v>
      </c>
      <c r="R4" t="s">
        <v>69</v>
      </c>
      <c r="T4" t="s">
        <v>218</v>
      </c>
      <c r="U4" t="s">
        <v>63</v>
      </c>
      <c r="W4" t="s">
        <v>60</v>
      </c>
      <c r="X4" t="s">
        <v>232</v>
      </c>
      <c r="AA4" t="s">
        <v>237</v>
      </c>
      <c r="AE4" t="s">
        <v>241</v>
      </c>
    </row>
    <row r="5" spans="6:31" x14ac:dyDescent="0.45">
      <c r="F5" t="s">
        <v>121</v>
      </c>
      <c r="G5" t="s">
        <v>85</v>
      </c>
      <c r="H5" t="s">
        <v>120</v>
      </c>
      <c r="I5" t="s">
        <v>120</v>
      </c>
      <c r="L5" t="s">
        <v>208</v>
      </c>
      <c r="R5" t="s">
        <v>120</v>
      </c>
      <c r="T5" t="s">
        <v>219</v>
      </c>
      <c r="U5" t="s">
        <v>71</v>
      </c>
      <c r="W5" t="s">
        <v>226</v>
      </c>
      <c r="X5" t="s">
        <v>233</v>
      </c>
      <c r="AA5" t="s">
        <v>238</v>
      </c>
      <c r="AE5" t="s">
        <v>242</v>
      </c>
    </row>
    <row r="6" spans="6:31" x14ac:dyDescent="0.45">
      <c r="F6" t="s">
        <v>122</v>
      </c>
      <c r="G6" t="s">
        <v>86</v>
      </c>
      <c r="L6" t="s">
        <v>209</v>
      </c>
      <c r="R6" t="s">
        <v>213</v>
      </c>
      <c r="T6" t="s">
        <v>220</v>
      </c>
      <c r="U6" t="s">
        <v>222</v>
      </c>
      <c r="W6" t="s">
        <v>227</v>
      </c>
      <c r="X6" t="s">
        <v>234</v>
      </c>
      <c r="AA6" t="s">
        <v>204</v>
      </c>
      <c r="AE6" t="s">
        <v>243</v>
      </c>
    </row>
    <row r="7" spans="6:31" x14ac:dyDescent="0.45">
      <c r="F7" t="s">
        <v>123</v>
      </c>
      <c r="G7" t="s">
        <v>87</v>
      </c>
      <c r="R7" t="s">
        <v>214</v>
      </c>
      <c r="U7" t="s">
        <v>223</v>
      </c>
      <c r="W7" t="s">
        <v>228</v>
      </c>
      <c r="X7" t="s">
        <v>204</v>
      </c>
      <c r="AE7" t="s">
        <v>244</v>
      </c>
    </row>
    <row r="8" spans="6:31" x14ac:dyDescent="0.45">
      <c r="F8" t="s">
        <v>124</v>
      </c>
      <c r="G8" t="s">
        <v>88</v>
      </c>
      <c r="R8" t="s">
        <v>50</v>
      </c>
      <c r="U8" t="s">
        <v>224</v>
      </c>
      <c r="W8" t="s">
        <v>229</v>
      </c>
      <c r="AE8" t="s">
        <v>245</v>
      </c>
    </row>
    <row r="9" spans="6:31" x14ac:dyDescent="0.45">
      <c r="F9" t="s">
        <v>125</v>
      </c>
      <c r="G9" t="s">
        <v>89</v>
      </c>
      <c r="H9" t="s">
        <v>126</v>
      </c>
      <c r="R9" t="s">
        <v>215</v>
      </c>
      <c r="AE9" t="s">
        <v>246</v>
      </c>
    </row>
    <row r="10" spans="6:31" x14ac:dyDescent="0.45">
      <c r="F10" t="s">
        <v>127</v>
      </c>
      <c r="G10" t="s">
        <v>44</v>
      </c>
      <c r="H10" t="s">
        <v>128</v>
      </c>
      <c r="R10" t="s">
        <v>216</v>
      </c>
      <c r="AE10" t="s">
        <v>204</v>
      </c>
    </row>
    <row r="11" spans="6:31" x14ac:dyDescent="0.45">
      <c r="F11" t="s">
        <v>129</v>
      </c>
      <c r="G11" t="s">
        <v>44</v>
      </c>
      <c r="H11" t="s">
        <v>130</v>
      </c>
      <c r="R11" t="s">
        <v>217</v>
      </c>
    </row>
    <row r="12" spans="6:31" x14ac:dyDescent="0.45">
      <c r="F12" t="s">
        <v>131</v>
      </c>
      <c r="G12" t="s">
        <v>90</v>
      </c>
      <c r="H12" t="s">
        <v>132</v>
      </c>
    </row>
    <row r="13" spans="6:31" x14ac:dyDescent="0.45">
      <c r="F13" t="s">
        <v>133</v>
      </c>
      <c r="G13" t="s">
        <v>91</v>
      </c>
      <c r="H13" t="s">
        <v>132</v>
      </c>
    </row>
    <row r="14" spans="6:31" x14ac:dyDescent="0.45">
      <c r="F14" t="s">
        <v>134</v>
      </c>
      <c r="G14" t="s">
        <v>78</v>
      </c>
      <c r="H14" t="s">
        <v>128</v>
      </c>
    </row>
    <row r="15" spans="6:31" x14ac:dyDescent="0.45">
      <c r="F15" t="s">
        <v>135</v>
      </c>
      <c r="G15" t="s">
        <v>78</v>
      </c>
      <c r="H15" t="s">
        <v>130</v>
      </c>
    </row>
    <row r="16" spans="6:31" x14ac:dyDescent="0.45">
      <c r="F16" t="s">
        <v>136</v>
      </c>
      <c r="G16" t="s">
        <v>92</v>
      </c>
      <c r="I16" t="s">
        <v>137</v>
      </c>
    </row>
    <row r="17" spans="6:9" x14ac:dyDescent="0.45">
      <c r="F17" t="s">
        <v>138</v>
      </c>
      <c r="G17" t="s">
        <v>93</v>
      </c>
      <c r="H17" t="s">
        <v>139</v>
      </c>
    </row>
    <row r="18" spans="6:9" x14ac:dyDescent="0.45">
      <c r="F18" t="s">
        <v>140</v>
      </c>
      <c r="G18" t="s">
        <v>94</v>
      </c>
      <c r="H18" t="s">
        <v>141</v>
      </c>
    </row>
    <row r="19" spans="6:9" x14ac:dyDescent="0.45">
      <c r="F19" t="s">
        <v>142</v>
      </c>
      <c r="G19" t="s">
        <v>95</v>
      </c>
      <c r="H19" t="s">
        <v>141</v>
      </c>
    </row>
    <row r="20" spans="6:9" x14ac:dyDescent="0.45">
      <c r="F20" t="s">
        <v>143</v>
      </c>
      <c r="G20" t="s">
        <v>96</v>
      </c>
      <c r="H20" t="s">
        <v>141</v>
      </c>
      <c r="I20" t="s">
        <v>137</v>
      </c>
    </row>
    <row r="21" spans="6:9" x14ac:dyDescent="0.45">
      <c r="F21" t="s">
        <v>144</v>
      </c>
      <c r="G21" t="s">
        <v>97</v>
      </c>
      <c r="H21" t="s">
        <v>141</v>
      </c>
      <c r="I21" t="s">
        <v>137</v>
      </c>
    </row>
    <row r="22" spans="6:9" x14ac:dyDescent="0.45">
      <c r="F22" t="s">
        <v>145</v>
      </c>
      <c r="G22" t="s">
        <v>58</v>
      </c>
      <c r="H22" t="s">
        <v>130</v>
      </c>
    </row>
    <row r="23" spans="6:9" x14ac:dyDescent="0.45">
      <c r="F23" t="s">
        <v>146</v>
      </c>
      <c r="G23" t="s">
        <v>98</v>
      </c>
      <c r="H23" t="s">
        <v>132</v>
      </c>
    </row>
    <row r="24" spans="6:9" x14ac:dyDescent="0.45">
      <c r="F24" t="s">
        <v>147</v>
      </c>
      <c r="G24" t="s">
        <v>99</v>
      </c>
      <c r="H24" t="s">
        <v>132</v>
      </c>
    </row>
    <row r="25" spans="6:9" x14ac:dyDescent="0.45">
      <c r="F25" t="s">
        <v>148</v>
      </c>
      <c r="G25" t="s">
        <v>58</v>
      </c>
      <c r="H25" t="s">
        <v>128</v>
      </c>
    </row>
    <row r="26" spans="6:9" x14ac:dyDescent="0.45">
      <c r="F26" t="s">
        <v>149</v>
      </c>
      <c r="G26" t="s">
        <v>100</v>
      </c>
      <c r="I26" t="s">
        <v>137</v>
      </c>
    </row>
    <row r="27" spans="6:9" x14ac:dyDescent="0.45">
      <c r="F27" t="s">
        <v>150</v>
      </c>
      <c r="G27" t="s">
        <v>96</v>
      </c>
      <c r="H27" t="s">
        <v>141</v>
      </c>
      <c r="I27" t="s">
        <v>151</v>
      </c>
    </row>
    <row r="28" spans="6:9" x14ac:dyDescent="0.45">
      <c r="F28" t="s">
        <v>152</v>
      </c>
      <c r="G28" t="s">
        <v>97</v>
      </c>
      <c r="H28" t="s">
        <v>141</v>
      </c>
      <c r="I28" t="s">
        <v>153</v>
      </c>
    </row>
    <row r="29" spans="6:9" x14ac:dyDescent="0.45">
      <c r="F29" t="s">
        <v>154</v>
      </c>
      <c r="G29" t="s">
        <v>100</v>
      </c>
      <c r="H29" t="s">
        <v>141</v>
      </c>
      <c r="I29" t="s">
        <v>137</v>
      </c>
    </row>
    <row r="30" spans="6:9" x14ac:dyDescent="0.45">
      <c r="F30" t="s">
        <v>155</v>
      </c>
      <c r="G30" t="s">
        <v>44</v>
      </c>
      <c r="H30" t="s">
        <v>126</v>
      </c>
    </row>
    <row r="31" spans="6:9" x14ac:dyDescent="0.45">
      <c r="F31" t="s">
        <v>156</v>
      </c>
      <c r="G31" t="s">
        <v>58</v>
      </c>
      <c r="H31" t="s">
        <v>126</v>
      </c>
    </row>
    <row r="32" spans="6:9" x14ac:dyDescent="0.45">
      <c r="F32" t="s">
        <v>157</v>
      </c>
      <c r="G32" t="s">
        <v>78</v>
      </c>
      <c r="H32" t="s">
        <v>126</v>
      </c>
    </row>
    <row r="33" spans="6:9" x14ac:dyDescent="0.45">
      <c r="F33" t="s">
        <v>158</v>
      </c>
      <c r="G33" t="s">
        <v>90</v>
      </c>
      <c r="H33" t="s">
        <v>130</v>
      </c>
    </row>
    <row r="34" spans="6:9" x14ac:dyDescent="0.45">
      <c r="F34" t="s">
        <v>159</v>
      </c>
      <c r="G34" t="s">
        <v>98</v>
      </c>
      <c r="H34" t="s">
        <v>130</v>
      </c>
    </row>
    <row r="35" spans="6:9" x14ac:dyDescent="0.45">
      <c r="F35" t="s">
        <v>160</v>
      </c>
      <c r="G35" t="s">
        <v>91</v>
      </c>
      <c r="H35" t="s">
        <v>130</v>
      </c>
    </row>
    <row r="36" spans="6:9" x14ac:dyDescent="0.45">
      <c r="F36" t="s">
        <v>161</v>
      </c>
      <c r="G36" t="s">
        <v>99</v>
      </c>
      <c r="H36" t="s">
        <v>130</v>
      </c>
    </row>
    <row r="37" spans="6:9" x14ac:dyDescent="0.45">
      <c r="F37" t="s">
        <v>162</v>
      </c>
      <c r="G37" t="s">
        <v>94</v>
      </c>
      <c r="H37" t="s">
        <v>141</v>
      </c>
      <c r="I37" t="s">
        <v>163</v>
      </c>
    </row>
    <row r="38" spans="6:9" x14ac:dyDescent="0.45">
      <c r="F38" t="s">
        <v>164</v>
      </c>
      <c r="G38" t="s">
        <v>101</v>
      </c>
    </row>
    <row r="39" spans="6:9" x14ac:dyDescent="0.45">
      <c r="F39" t="s">
        <v>165</v>
      </c>
      <c r="G39" t="s">
        <v>97</v>
      </c>
      <c r="I39" t="s">
        <v>153</v>
      </c>
    </row>
    <row r="40" spans="6:9" x14ac:dyDescent="0.45">
      <c r="F40" t="s">
        <v>166</v>
      </c>
      <c r="G40" t="s">
        <v>102</v>
      </c>
      <c r="H40" t="s">
        <v>126</v>
      </c>
    </row>
    <row r="41" spans="6:9" x14ac:dyDescent="0.45">
      <c r="F41" t="s">
        <v>167</v>
      </c>
      <c r="G41" t="s">
        <v>90</v>
      </c>
      <c r="H41" t="s">
        <v>126</v>
      </c>
    </row>
    <row r="42" spans="6:9" x14ac:dyDescent="0.45">
      <c r="F42" t="s">
        <v>168</v>
      </c>
      <c r="G42" t="s">
        <v>103</v>
      </c>
      <c r="H42" t="s">
        <v>126</v>
      </c>
    </row>
    <row r="43" spans="6:9" x14ac:dyDescent="0.45">
      <c r="F43" t="s">
        <v>169</v>
      </c>
      <c r="G43" t="s">
        <v>104</v>
      </c>
      <c r="H43" t="s">
        <v>126</v>
      </c>
    </row>
    <row r="44" spans="6:9" x14ac:dyDescent="0.45">
      <c r="F44" t="s">
        <v>170</v>
      </c>
      <c r="G44" t="s">
        <v>98</v>
      </c>
      <c r="H44" t="s">
        <v>126</v>
      </c>
    </row>
    <row r="45" spans="6:9" x14ac:dyDescent="0.45">
      <c r="F45" t="s">
        <v>171</v>
      </c>
      <c r="G45" t="s">
        <v>105</v>
      </c>
      <c r="H45" t="s">
        <v>126</v>
      </c>
    </row>
    <row r="46" spans="6:9" x14ac:dyDescent="0.45">
      <c r="F46" t="s">
        <v>172</v>
      </c>
      <c r="G46" t="s">
        <v>91</v>
      </c>
      <c r="H46" t="s">
        <v>126</v>
      </c>
    </row>
    <row r="47" spans="6:9" x14ac:dyDescent="0.45">
      <c r="F47" t="s">
        <v>173</v>
      </c>
      <c r="G47" t="s">
        <v>99</v>
      </c>
      <c r="H47" t="s">
        <v>126</v>
      </c>
    </row>
    <row r="48" spans="6:9" x14ac:dyDescent="0.45">
      <c r="F48" t="s">
        <v>174</v>
      </c>
      <c r="G48" t="s">
        <v>106</v>
      </c>
      <c r="H48" t="s">
        <v>126</v>
      </c>
    </row>
    <row r="49" spans="6:9" x14ac:dyDescent="0.45">
      <c r="F49" t="s">
        <v>175</v>
      </c>
      <c r="G49" t="s">
        <v>107</v>
      </c>
    </row>
    <row r="50" spans="6:9" x14ac:dyDescent="0.45">
      <c r="F50" t="s">
        <v>176</v>
      </c>
      <c r="G50" t="s">
        <v>108</v>
      </c>
    </row>
    <row r="51" spans="6:9" x14ac:dyDescent="0.45">
      <c r="F51" t="s">
        <v>177</v>
      </c>
      <c r="G51" t="s">
        <v>109</v>
      </c>
      <c r="H51" t="s">
        <v>141</v>
      </c>
      <c r="I51" t="s">
        <v>178</v>
      </c>
    </row>
    <row r="52" spans="6:9" x14ac:dyDescent="0.45">
      <c r="F52" t="s">
        <v>179</v>
      </c>
      <c r="G52" t="s">
        <v>110</v>
      </c>
      <c r="H52" t="s">
        <v>141</v>
      </c>
    </row>
    <row r="53" spans="6:9" x14ac:dyDescent="0.45">
      <c r="F53" t="s">
        <v>180</v>
      </c>
      <c r="G53" t="s">
        <v>111</v>
      </c>
      <c r="H53" t="s">
        <v>141</v>
      </c>
      <c r="I53" t="s">
        <v>181</v>
      </c>
    </row>
    <row r="54" spans="6:9" x14ac:dyDescent="0.45">
      <c r="F54" t="s">
        <v>182</v>
      </c>
      <c r="G54" t="s">
        <v>59</v>
      </c>
      <c r="H54" t="s">
        <v>130</v>
      </c>
    </row>
    <row r="55" spans="6:9" x14ac:dyDescent="0.45">
      <c r="F55" t="s">
        <v>183</v>
      </c>
      <c r="G55" t="s">
        <v>61</v>
      </c>
      <c r="H55" t="s">
        <v>130</v>
      </c>
    </row>
    <row r="56" spans="6:9" x14ac:dyDescent="0.45">
      <c r="F56" t="s">
        <v>184</v>
      </c>
      <c r="G56" t="s">
        <v>103</v>
      </c>
      <c r="H56" t="s">
        <v>130</v>
      </c>
    </row>
    <row r="57" spans="6:9" x14ac:dyDescent="0.45">
      <c r="F57" t="s">
        <v>185</v>
      </c>
      <c r="G57" t="s">
        <v>104</v>
      </c>
      <c r="H57" t="s">
        <v>130</v>
      </c>
    </row>
    <row r="58" spans="6:9" x14ac:dyDescent="0.45">
      <c r="F58" t="s">
        <v>186</v>
      </c>
      <c r="G58" t="s">
        <v>82</v>
      </c>
      <c r="H58" t="s">
        <v>130</v>
      </c>
    </row>
    <row r="59" spans="6:9" x14ac:dyDescent="0.45">
      <c r="F59" t="s">
        <v>187</v>
      </c>
      <c r="G59" t="s">
        <v>112</v>
      </c>
      <c r="H59" t="s">
        <v>130</v>
      </c>
    </row>
    <row r="60" spans="6:9" x14ac:dyDescent="0.45">
      <c r="F60" t="s">
        <v>188</v>
      </c>
      <c r="G60" t="s">
        <v>55</v>
      </c>
      <c r="H60" t="s">
        <v>130</v>
      </c>
    </row>
    <row r="61" spans="6:9" x14ac:dyDescent="0.45">
      <c r="F61" t="s">
        <v>189</v>
      </c>
      <c r="G61" t="s">
        <v>80</v>
      </c>
      <c r="H61" t="s">
        <v>130</v>
      </c>
    </row>
    <row r="62" spans="6:9" x14ac:dyDescent="0.45">
      <c r="F62" t="s">
        <v>190</v>
      </c>
      <c r="G62" t="s">
        <v>57</v>
      </c>
      <c r="H62" t="s">
        <v>130</v>
      </c>
    </row>
    <row r="63" spans="6:9" x14ac:dyDescent="0.45">
      <c r="F63" t="s">
        <v>191</v>
      </c>
      <c r="G63" t="s">
        <v>113</v>
      </c>
      <c r="H63" t="s">
        <v>130</v>
      </c>
    </row>
    <row r="64" spans="6:9" x14ac:dyDescent="0.45">
      <c r="F64" t="s">
        <v>192</v>
      </c>
      <c r="G64" t="s">
        <v>105</v>
      </c>
      <c r="H64" t="s">
        <v>130</v>
      </c>
    </row>
    <row r="65" spans="6:9" x14ac:dyDescent="0.45">
      <c r="F65" t="s">
        <v>193</v>
      </c>
      <c r="G65" t="s">
        <v>102</v>
      </c>
      <c r="H65" t="s">
        <v>130</v>
      </c>
    </row>
    <row r="66" spans="6:9" x14ac:dyDescent="0.45">
      <c r="F66" t="s">
        <v>194</v>
      </c>
      <c r="G66" t="s">
        <v>81</v>
      </c>
      <c r="H66" t="s">
        <v>130</v>
      </c>
    </row>
    <row r="67" spans="6:9" x14ac:dyDescent="0.45">
      <c r="F67" t="s">
        <v>195</v>
      </c>
      <c r="G67" t="s">
        <v>106</v>
      </c>
      <c r="H67" t="s">
        <v>130</v>
      </c>
    </row>
    <row r="68" spans="6:9" x14ac:dyDescent="0.45">
      <c r="F68" t="s">
        <v>196</v>
      </c>
      <c r="G68" t="s">
        <v>64</v>
      </c>
      <c r="H68" t="s">
        <v>130</v>
      </c>
    </row>
    <row r="69" spans="6:9" x14ac:dyDescent="0.45">
      <c r="F69" t="s">
        <v>197</v>
      </c>
      <c r="G69" t="s">
        <v>114</v>
      </c>
      <c r="H69" t="s">
        <v>141</v>
      </c>
      <c r="I69" t="s">
        <v>198</v>
      </c>
    </row>
    <row r="70" spans="6:9" x14ac:dyDescent="0.45">
      <c r="F70" t="s">
        <v>199</v>
      </c>
      <c r="G70" t="s">
        <v>66</v>
      </c>
    </row>
    <row r="71" spans="6:9" x14ac:dyDescent="0.45">
      <c r="F71" t="s">
        <v>200</v>
      </c>
      <c r="G71" t="s">
        <v>115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DefineCriteriaMethodology</vt:lpstr>
      <vt:lpstr>Index-Criteria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YuChen</cp:lastModifiedBy>
  <dcterms:created xsi:type="dcterms:W3CDTF">2026-01-08T06:40:43Z</dcterms:created>
  <dcterms:modified xsi:type="dcterms:W3CDTF">2026-01-08T06:42:39Z</dcterms:modified>
</cp:coreProperties>
</file>