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mullin_cristina_epa_gov/Documents/Downloads/"/>
    </mc:Choice>
  </mc:AlternateContent>
  <xr:revisionPtr revIDLastSave="0" documentId="8_{CD2C372C-26DF-49B5-AC0C-BE00124CA491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Primary-Secondary Contact" sheetId="1" r:id="rId1"/>
    <sheet name="Aquatic-Wildlife Use" sheetId="2" r:id="rId2"/>
    <sheet name="Agricultural-Livestock Use" sheetId="3" r:id="rId3"/>
    <sheet name="Nutrient Threaten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15" i="2"/>
  <c r="F47" i="3"/>
  <c r="F47" i="2"/>
  <c r="G12" i="1"/>
  <c r="K52" i="4" l="1"/>
  <c r="M52" i="4" s="1"/>
  <c r="G52" i="4"/>
  <c r="E52" i="4"/>
  <c r="K51" i="4"/>
  <c r="L51" i="4" s="1"/>
  <c r="G51" i="4"/>
  <c r="E51" i="4"/>
  <c r="K50" i="4"/>
  <c r="M50" i="4" s="1"/>
  <c r="G50" i="4"/>
  <c r="E50" i="4"/>
  <c r="K49" i="4"/>
  <c r="M49" i="4" s="1"/>
  <c r="G49" i="4"/>
  <c r="E49" i="4"/>
  <c r="K48" i="4"/>
  <c r="M48" i="4" s="1"/>
  <c r="G48" i="4"/>
  <c r="E48" i="4"/>
  <c r="K47" i="4"/>
  <c r="M47" i="4" s="1"/>
  <c r="G47" i="4"/>
  <c r="E47" i="4"/>
  <c r="K46" i="4"/>
  <c r="M46" i="4" s="1"/>
  <c r="G46" i="4"/>
  <c r="E46" i="4"/>
  <c r="K45" i="4"/>
  <c r="M45" i="4" s="1"/>
  <c r="G45" i="4"/>
  <c r="E45" i="4"/>
  <c r="K44" i="4"/>
  <c r="M44" i="4" s="1"/>
  <c r="G44" i="4"/>
  <c r="E44" i="4"/>
  <c r="K43" i="4"/>
  <c r="L43" i="4" s="1"/>
  <c r="G43" i="4"/>
  <c r="E43" i="4"/>
  <c r="K42" i="4"/>
  <c r="M42" i="4" s="1"/>
  <c r="G42" i="4"/>
  <c r="E42" i="4"/>
  <c r="K41" i="4"/>
  <c r="M41" i="4" s="1"/>
  <c r="G41" i="4"/>
  <c r="E41" i="4"/>
  <c r="K37" i="4"/>
  <c r="M37" i="4" s="1"/>
  <c r="G37" i="4"/>
  <c r="E37" i="4"/>
  <c r="K36" i="4"/>
  <c r="M36" i="4" s="1"/>
  <c r="G36" i="4"/>
  <c r="E36" i="4"/>
  <c r="K35" i="4"/>
  <c r="M35" i="4" s="1"/>
  <c r="G35" i="4"/>
  <c r="E35" i="4"/>
  <c r="K34" i="4"/>
  <c r="M34" i="4" s="1"/>
  <c r="G34" i="4"/>
  <c r="E34" i="4"/>
  <c r="K33" i="4"/>
  <c r="M33" i="4" s="1"/>
  <c r="G33" i="4"/>
  <c r="E33" i="4"/>
  <c r="K32" i="4"/>
  <c r="L32" i="4" s="1"/>
  <c r="G32" i="4"/>
  <c r="E32" i="4"/>
  <c r="K31" i="4"/>
  <c r="M31" i="4" s="1"/>
  <c r="G31" i="4"/>
  <c r="E31" i="4"/>
  <c r="K30" i="4"/>
  <c r="M30" i="4" s="1"/>
  <c r="G30" i="4"/>
  <c r="E30" i="4"/>
  <c r="K29" i="4"/>
  <c r="M29" i="4" s="1"/>
  <c r="G29" i="4"/>
  <c r="E29" i="4"/>
  <c r="K28" i="4"/>
  <c r="L28" i="4" s="1"/>
  <c r="G28" i="4"/>
  <c r="E28" i="4"/>
  <c r="K27" i="4"/>
  <c r="M27" i="4" s="1"/>
  <c r="G27" i="4"/>
  <c r="E27" i="4"/>
  <c r="K26" i="4"/>
  <c r="M26" i="4" s="1"/>
  <c r="G26" i="4"/>
  <c r="E26" i="4"/>
  <c r="K22" i="4"/>
  <c r="M22" i="4" s="1"/>
  <c r="G22" i="4"/>
  <c r="E22" i="4"/>
  <c r="K21" i="4"/>
  <c r="M21" i="4" s="1"/>
  <c r="G21" i="4"/>
  <c r="E21" i="4"/>
  <c r="K20" i="4"/>
  <c r="M20" i="4" s="1"/>
  <c r="G20" i="4"/>
  <c r="E20" i="4"/>
  <c r="K19" i="4"/>
  <c r="M19" i="4" s="1"/>
  <c r="G19" i="4"/>
  <c r="E19" i="4"/>
  <c r="K18" i="4"/>
  <c r="M18" i="4" s="1"/>
  <c r="G18" i="4"/>
  <c r="E18" i="4"/>
  <c r="K17" i="4"/>
  <c r="L17" i="4" s="1"/>
  <c r="G17" i="4"/>
  <c r="E17" i="4"/>
  <c r="K16" i="4"/>
  <c r="M16" i="4" s="1"/>
  <c r="G16" i="4"/>
  <c r="E16" i="4"/>
  <c r="K15" i="4"/>
  <c r="M15" i="4" s="1"/>
  <c r="G15" i="4"/>
  <c r="E15" i="4"/>
  <c r="K14" i="4"/>
  <c r="M14" i="4" s="1"/>
  <c r="G14" i="4"/>
  <c r="E14" i="4"/>
  <c r="K13" i="4"/>
  <c r="M13" i="4" s="1"/>
  <c r="G13" i="4"/>
  <c r="E13" i="4"/>
  <c r="K12" i="4"/>
  <c r="M12" i="4" s="1"/>
  <c r="G12" i="4"/>
  <c r="E12" i="4"/>
  <c r="K11" i="4"/>
  <c r="M11" i="4" s="1"/>
  <c r="G11" i="4"/>
  <c r="E11" i="4"/>
  <c r="M51" i="3"/>
  <c r="N51" i="3" s="1"/>
  <c r="G51" i="3"/>
  <c r="E51" i="3"/>
  <c r="M50" i="3"/>
  <c r="N50" i="3" s="1"/>
  <c r="G50" i="3"/>
  <c r="E50" i="3"/>
  <c r="M49" i="3"/>
  <c r="N49" i="3" s="1"/>
  <c r="G49" i="3"/>
  <c r="E49" i="3"/>
  <c r="M48" i="3"/>
  <c r="N48" i="3" s="1"/>
  <c r="G48" i="3"/>
  <c r="E48" i="3"/>
  <c r="M47" i="3"/>
  <c r="N47" i="3" s="1"/>
  <c r="G47" i="3"/>
  <c r="E47" i="3"/>
  <c r="M46" i="3"/>
  <c r="N46" i="3" s="1"/>
  <c r="G46" i="3"/>
  <c r="E46" i="3"/>
  <c r="M45" i="3"/>
  <c r="N45" i="3" s="1"/>
  <c r="G45" i="3"/>
  <c r="E45" i="3"/>
  <c r="M44" i="3"/>
  <c r="N44" i="3" s="1"/>
  <c r="G44" i="3"/>
  <c r="E44" i="3"/>
  <c r="M43" i="3"/>
  <c r="N43" i="3" s="1"/>
  <c r="G43" i="3"/>
  <c r="E43" i="3"/>
  <c r="M42" i="3"/>
  <c r="N42" i="3" s="1"/>
  <c r="G42" i="3"/>
  <c r="E42" i="3"/>
  <c r="M41" i="3"/>
  <c r="N41" i="3" s="1"/>
  <c r="G41" i="3"/>
  <c r="E41" i="3"/>
  <c r="M40" i="3"/>
  <c r="N40" i="3" s="1"/>
  <c r="G40" i="3"/>
  <c r="E40" i="3"/>
  <c r="M36" i="3"/>
  <c r="N36" i="3" s="1"/>
  <c r="G36" i="3"/>
  <c r="E36" i="3"/>
  <c r="M35" i="3"/>
  <c r="O35" i="3" s="1"/>
  <c r="G35" i="3"/>
  <c r="E35" i="3"/>
  <c r="M34" i="3"/>
  <c r="N34" i="3" s="1"/>
  <c r="G34" i="3"/>
  <c r="E34" i="3"/>
  <c r="M33" i="3"/>
  <c r="N33" i="3" s="1"/>
  <c r="G33" i="3"/>
  <c r="E33" i="3"/>
  <c r="M32" i="3"/>
  <c r="N32" i="3" s="1"/>
  <c r="G32" i="3"/>
  <c r="E32" i="3"/>
  <c r="M31" i="3"/>
  <c r="N31" i="3" s="1"/>
  <c r="G31" i="3"/>
  <c r="E31" i="3"/>
  <c r="M30" i="3"/>
  <c r="N30" i="3" s="1"/>
  <c r="G30" i="3"/>
  <c r="E30" i="3"/>
  <c r="M29" i="3"/>
  <c r="N29" i="3" s="1"/>
  <c r="G29" i="3"/>
  <c r="E29" i="3"/>
  <c r="M28" i="3"/>
  <c r="N28" i="3" s="1"/>
  <c r="G28" i="3"/>
  <c r="E28" i="3"/>
  <c r="M27" i="3"/>
  <c r="N27" i="3" s="1"/>
  <c r="G27" i="3"/>
  <c r="E27" i="3"/>
  <c r="M26" i="3"/>
  <c r="N26" i="3" s="1"/>
  <c r="G26" i="3"/>
  <c r="E26" i="3"/>
  <c r="M25" i="3"/>
  <c r="N25" i="3" s="1"/>
  <c r="G25" i="3"/>
  <c r="E25" i="3"/>
  <c r="M21" i="3"/>
  <c r="N21" i="3" s="1"/>
  <c r="G21" i="3"/>
  <c r="E21" i="3"/>
  <c r="M20" i="3"/>
  <c r="O20" i="3" s="1"/>
  <c r="G20" i="3"/>
  <c r="E20" i="3"/>
  <c r="M19" i="3"/>
  <c r="O19" i="3" s="1"/>
  <c r="G19" i="3"/>
  <c r="E19" i="3"/>
  <c r="M18" i="3"/>
  <c r="O18" i="3" s="1"/>
  <c r="G18" i="3"/>
  <c r="E18" i="3"/>
  <c r="M17" i="3"/>
  <c r="N17" i="3" s="1"/>
  <c r="G17" i="3"/>
  <c r="E17" i="3"/>
  <c r="M16" i="3"/>
  <c r="O16" i="3" s="1"/>
  <c r="G16" i="3"/>
  <c r="E16" i="3"/>
  <c r="M15" i="3"/>
  <c r="O15" i="3" s="1"/>
  <c r="G15" i="3"/>
  <c r="E15" i="3"/>
  <c r="M14" i="3"/>
  <c r="O14" i="3" s="1"/>
  <c r="G14" i="3"/>
  <c r="E14" i="3"/>
  <c r="M13" i="3"/>
  <c r="N13" i="3" s="1"/>
  <c r="G13" i="3"/>
  <c r="E13" i="3"/>
  <c r="M12" i="3"/>
  <c r="O12" i="3" s="1"/>
  <c r="G12" i="3"/>
  <c r="E12" i="3"/>
  <c r="M11" i="3"/>
  <c r="O11" i="3" s="1"/>
  <c r="G11" i="3"/>
  <c r="E11" i="3"/>
  <c r="M10" i="3"/>
  <c r="O10" i="3" s="1"/>
  <c r="G10" i="3"/>
  <c r="E10" i="3"/>
  <c r="N12" i="3" l="1"/>
  <c r="O50" i="3"/>
  <c r="M28" i="4"/>
  <c r="O42" i="3"/>
  <c r="O46" i="3"/>
  <c r="O44" i="3"/>
  <c r="O40" i="3"/>
  <c r="O48" i="3"/>
  <c r="O41" i="3"/>
  <c r="O43" i="3"/>
  <c r="O45" i="3"/>
  <c r="O47" i="3"/>
  <c r="O49" i="3"/>
  <c r="O51" i="3"/>
  <c r="O28" i="3"/>
  <c r="O32" i="3"/>
  <c r="O31" i="3"/>
  <c r="O27" i="3"/>
  <c r="O33" i="3"/>
  <c r="O26" i="3"/>
  <c r="O30" i="3"/>
  <c r="O34" i="3"/>
  <c r="O25" i="3"/>
  <c r="O29" i="3"/>
  <c r="O36" i="3"/>
  <c r="N16" i="3"/>
  <c r="N20" i="3"/>
  <c r="L13" i="4"/>
  <c r="L36" i="4"/>
  <c r="L47" i="4"/>
  <c r="M17" i="4"/>
  <c r="M32" i="4"/>
  <c r="M43" i="4"/>
  <c r="M51" i="4"/>
  <c r="L14" i="4"/>
  <c r="L18" i="4"/>
  <c r="L29" i="4"/>
  <c r="L33" i="4"/>
  <c r="L37" i="4"/>
  <c r="L44" i="4"/>
  <c r="L48" i="4"/>
  <c r="L52" i="4"/>
  <c r="N35" i="3"/>
  <c r="L22" i="4"/>
  <c r="L21" i="4"/>
  <c r="L11" i="4"/>
  <c r="L15" i="4"/>
  <c r="L19" i="4"/>
  <c r="L26" i="4"/>
  <c r="L30" i="4"/>
  <c r="L34" i="4"/>
  <c r="L41" i="4"/>
  <c r="L45" i="4"/>
  <c r="L49" i="4"/>
  <c r="L12" i="4"/>
  <c r="L16" i="4"/>
  <c r="L20" i="4"/>
  <c r="L27" i="4"/>
  <c r="L31" i="4"/>
  <c r="L35" i="4"/>
  <c r="L42" i="4"/>
  <c r="L46" i="4"/>
  <c r="L50" i="4"/>
  <c r="N10" i="3"/>
  <c r="N14" i="3"/>
  <c r="O17" i="3"/>
  <c r="O21" i="3"/>
  <c r="O13" i="3"/>
  <c r="N18" i="3"/>
  <c r="N11" i="3"/>
  <c r="N15" i="3"/>
  <c r="N19" i="3"/>
  <c r="M66" i="2"/>
  <c r="O66" i="2" s="1"/>
  <c r="G66" i="2"/>
  <c r="E66" i="2"/>
  <c r="M65" i="2"/>
  <c r="N65" i="2" s="1"/>
  <c r="G65" i="2"/>
  <c r="E65" i="2"/>
  <c r="M64" i="2"/>
  <c r="O64" i="2" s="1"/>
  <c r="G64" i="2"/>
  <c r="E64" i="2"/>
  <c r="M63" i="2"/>
  <c r="N63" i="2" s="1"/>
  <c r="G63" i="2"/>
  <c r="E63" i="2"/>
  <c r="M62" i="2"/>
  <c r="O62" i="2" s="1"/>
  <c r="G62" i="2"/>
  <c r="E62" i="2"/>
  <c r="M61" i="2"/>
  <c r="N61" i="2" s="1"/>
  <c r="G61" i="2"/>
  <c r="E61" i="2"/>
  <c r="M60" i="2"/>
  <c r="O60" i="2" s="1"/>
  <c r="G60" i="2"/>
  <c r="E60" i="2"/>
  <c r="M59" i="2"/>
  <c r="N59" i="2" s="1"/>
  <c r="G59" i="2"/>
  <c r="E59" i="2"/>
  <c r="M58" i="2"/>
  <c r="O58" i="2" s="1"/>
  <c r="G58" i="2"/>
  <c r="E58" i="2"/>
  <c r="M57" i="2"/>
  <c r="N57" i="2" s="1"/>
  <c r="G57" i="2"/>
  <c r="E57" i="2"/>
  <c r="M56" i="2"/>
  <c r="O56" i="2" s="1"/>
  <c r="G56" i="2"/>
  <c r="E56" i="2"/>
  <c r="M55" i="2"/>
  <c r="N55" i="2" s="1"/>
  <c r="G55" i="2"/>
  <c r="E55" i="2"/>
  <c r="M51" i="2"/>
  <c r="O51" i="2" s="1"/>
  <c r="G51" i="2"/>
  <c r="E51" i="2"/>
  <c r="M50" i="2"/>
  <c r="N50" i="2" s="1"/>
  <c r="G50" i="2"/>
  <c r="E50" i="2"/>
  <c r="M49" i="2"/>
  <c r="N49" i="2" s="1"/>
  <c r="G49" i="2"/>
  <c r="E49" i="2"/>
  <c r="M48" i="2"/>
  <c r="N48" i="2" s="1"/>
  <c r="G48" i="2"/>
  <c r="E48" i="2"/>
  <c r="M47" i="2"/>
  <c r="O47" i="2" s="1"/>
  <c r="G47" i="2"/>
  <c r="E47" i="2"/>
  <c r="M46" i="2"/>
  <c r="N46" i="2" s="1"/>
  <c r="G46" i="2"/>
  <c r="E46" i="2"/>
  <c r="M45" i="2"/>
  <c r="O45" i="2" s="1"/>
  <c r="G45" i="2"/>
  <c r="E45" i="2"/>
  <c r="M44" i="2"/>
  <c r="N44" i="2" s="1"/>
  <c r="G44" i="2"/>
  <c r="E44" i="2"/>
  <c r="M43" i="2"/>
  <c r="O43" i="2" s="1"/>
  <c r="G43" i="2"/>
  <c r="E43" i="2"/>
  <c r="M42" i="2"/>
  <c r="N42" i="2" s="1"/>
  <c r="G42" i="2"/>
  <c r="E42" i="2"/>
  <c r="M41" i="2"/>
  <c r="N41" i="2" s="1"/>
  <c r="G41" i="2"/>
  <c r="E41" i="2"/>
  <c r="M40" i="2"/>
  <c r="N40" i="2" s="1"/>
  <c r="G40" i="2"/>
  <c r="E40" i="2"/>
  <c r="M36" i="2"/>
  <c r="O36" i="2" s="1"/>
  <c r="G36" i="2"/>
  <c r="E36" i="2"/>
  <c r="M35" i="2"/>
  <c r="O35" i="2" s="1"/>
  <c r="G35" i="2"/>
  <c r="E35" i="2"/>
  <c r="M34" i="2"/>
  <c r="O34" i="2" s="1"/>
  <c r="G34" i="2"/>
  <c r="E34" i="2"/>
  <c r="M33" i="2"/>
  <c r="O33" i="2" s="1"/>
  <c r="G33" i="2"/>
  <c r="E33" i="2"/>
  <c r="M32" i="2"/>
  <c r="O32" i="2" s="1"/>
  <c r="G32" i="2"/>
  <c r="E32" i="2"/>
  <c r="M31" i="2"/>
  <c r="O31" i="2" s="1"/>
  <c r="G31" i="2"/>
  <c r="E31" i="2"/>
  <c r="M30" i="2"/>
  <c r="O30" i="2" s="1"/>
  <c r="G30" i="2"/>
  <c r="E30" i="2"/>
  <c r="M29" i="2"/>
  <c r="O29" i="2" s="1"/>
  <c r="G29" i="2"/>
  <c r="E29" i="2"/>
  <c r="M28" i="2"/>
  <c r="O28" i="2" s="1"/>
  <c r="G28" i="2"/>
  <c r="E28" i="2"/>
  <c r="M27" i="2"/>
  <c r="N27" i="2" s="1"/>
  <c r="G27" i="2"/>
  <c r="E27" i="2"/>
  <c r="M26" i="2"/>
  <c r="O26" i="2" s="1"/>
  <c r="G26" i="2"/>
  <c r="E26" i="2"/>
  <c r="M25" i="2"/>
  <c r="O25" i="2" s="1"/>
  <c r="G25" i="2"/>
  <c r="E25" i="2"/>
  <c r="M21" i="2"/>
  <c r="N21" i="2" s="1"/>
  <c r="G21" i="2"/>
  <c r="E21" i="2"/>
  <c r="M20" i="2"/>
  <c r="O20" i="2" s="1"/>
  <c r="G20" i="2"/>
  <c r="E20" i="2"/>
  <c r="M19" i="2"/>
  <c r="O19" i="2" s="1"/>
  <c r="G19" i="2"/>
  <c r="E19" i="2"/>
  <c r="M18" i="2"/>
  <c r="N18" i="2" s="1"/>
  <c r="G18" i="2"/>
  <c r="E18" i="2"/>
  <c r="M17" i="2"/>
  <c r="N17" i="2" s="1"/>
  <c r="G17" i="2"/>
  <c r="E17" i="2"/>
  <c r="M16" i="2"/>
  <c r="O16" i="2" s="1"/>
  <c r="G16" i="2"/>
  <c r="E16" i="2"/>
  <c r="M15" i="2"/>
  <c r="O15" i="2" s="1"/>
  <c r="G15" i="2"/>
  <c r="M14" i="2"/>
  <c r="O14" i="2" s="1"/>
  <c r="G14" i="2"/>
  <c r="E14" i="2"/>
  <c r="M13" i="2"/>
  <c r="N13" i="2" s="1"/>
  <c r="G13" i="2"/>
  <c r="E13" i="2"/>
  <c r="M12" i="2"/>
  <c r="O12" i="2" s="1"/>
  <c r="G12" i="2"/>
  <c r="M11" i="2"/>
  <c r="O11" i="2" s="1"/>
  <c r="G11" i="2"/>
  <c r="E11" i="2"/>
  <c r="M10" i="2"/>
  <c r="O10" i="2" s="1"/>
  <c r="G10" i="2"/>
  <c r="E10" i="2"/>
  <c r="N45" i="2" l="1"/>
  <c r="O17" i="2"/>
  <c r="N14" i="2"/>
  <c r="N35" i="2"/>
  <c r="N15" i="2"/>
  <c r="O13" i="2"/>
  <c r="N28" i="2"/>
  <c r="N31" i="2"/>
  <c r="N29" i="2"/>
  <c r="N32" i="2"/>
  <c r="O41" i="2"/>
  <c r="N11" i="2"/>
  <c r="O49" i="2"/>
  <c r="N25" i="2"/>
  <c r="N10" i="2"/>
  <c r="O27" i="2"/>
  <c r="O40" i="2"/>
  <c r="O44" i="2"/>
  <c r="O48" i="2"/>
  <c r="O57" i="2"/>
  <c r="O61" i="2"/>
  <c r="O65" i="2"/>
  <c r="N33" i="2"/>
  <c r="N36" i="2"/>
  <c r="N56" i="2"/>
  <c r="N60" i="2"/>
  <c r="N64" i="2"/>
  <c r="N58" i="2"/>
  <c r="O55" i="2"/>
  <c r="O59" i="2"/>
  <c r="O63" i="2"/>
  <c r="N62" i="2"/>
  <c r="N66" i="2"/>
  <c r="O42" i="2"/>
  <c r="N43" i="2"/>
  <c r="O46" i="2"/>
  <c r="N47" i="2"/>
  <c r="O50" i="2"/>
  <c r="N51" i="2"/>
  <c r="N26" i="2"/>
  <c r="N30" i="2"/>
  <c r="N34" i="2"/>
  <c r="O21" i="2"/>
  <c r="N19" i="2"/>
  <c r="O18" i="2"/>
  <c r="N12" i="2"/>
  <c r="N16" i="2"/>
  <c r="N20" i="2"/>
  <c r="G11" i="1"/>
  <c r="G13" i="1"/>
  <c r="G14" i="1"/>
  <c r="G15" i="1"/>
  <c r="G16" i="1"/>
  <c r="G17" i="1"/>
  <c r="G18" i="1"/>
  <c r="G19" i="1"/>
  <c r="G20" i="1"/>
  <c r="G21" i="1"/>
  <c r="G10" i="1"/>
  <c r="L11" i="1"/>
  <c r="M11" i="1" s="1"/>
  <c r="L12" i="1"/>
  <c r="M12" i="1" s="1"/>
  <c r="L13" i="1"/>
  <c r="M13" i="1" s="1"/>
  <c r="L14" i="1"/>
  <c r="N14" i="1" s="1"/>
  <c r="L15" i="1"/>
  <c r="M15" i="1" s="1"/>
  <c r="L16" i="1"/>
  <c r="M16" i="1" s="1"/>
  <c r="L17" i="1"/>
  <c r="M17" i="1" s="1"/>
  <c r="L18" i="1"/>
  <c r="L19" i="1"/>
  <c r="M19" i="1" s="1"/>
  <c r="L20" i="1"/>
  <c r="M20" i="1" s="1"/>
  <c r="L21" i="1"/>
  <c r="M21" i="1" s="1"/>
  <c r="L10" i="1"/>
  <c r="M10" i="1" s="1"/>
  <c r="E11" i="1"/>
  <c r="E12" i="1"/>
  <c r="E13" i="1"/>
  <c r="E14" i="1"/>
  <c r="E15" i="1"/>
  <c r="E16" i="1"/>
  <c r="E17" i="1"/>
  <c r="E18" i="1"/>
  <c r="E19" i="1"/>
  <c r="E20" i="1"/>
  <c r="E21" i="1"/>
  <c r="E10" i="1"/>
  <c r="N20" i="1" l="1"/>
  <c r="N16" i="1"/>
  <c r="N18" i="1"/>
  <c r="M18" i="1"/>
  <c r="N21" i="1"/>
  <c r="N19" i="1"/>
  <c r="N17" i="1"/>
  <c r="N15" i="1"/>
  <c r="M14" i="1"/>
  <c r="N10" i="1"/>
  <c r="N11" i="1"/>
  <c r="N13" i="1"/>
  <c r="N12" i="1"/>
</calcChain>
</file>

<file path=xl/sharedStrings.xml><?xml version="1.0" encoding="utf-8"?>
<sst xmlns="http://schemas.openxmlformats.org/spreadsheetml/2006/main" count="705" uniqueCount="113">
  <si>
    <t>Primary Body Contact/Recreation Beneficial Use (Cultural)</t>
  </si>
  <si>
    <t>Time Period:</t>
  </si>
  <si>
    <t>October 1, 2015-September 30, 2017</t>
  </si>
  <si>
    <t xml:space="preserve">May 1- September 30 </t>
  </si>
  <si>
    <t>Recreation Season</t>
  </si>
  <si>
    <t>Criteria</t>
  </si>
  <si>
    <t>Oklahoma Water Quality Standards (Chapter 45 (p21))</t>
  </si>
  <si>
    <t>Supported</t>
  </si>
  <si>
    <r>
      <t xml:space="preserve">≤ </t>
    </r>
    <r>
      <rPr>
        <sz val="12"/>
        <color theme="1"/>
        <rFont val="Times New Roman"/>
        <family val="1"/>
      </rPr>
      <t xml:space="preserve">10% of the sample concentrations exceed the MDLs (406 cfu/100mL) during recreational season </t>
    </r>
    <r>
      <rPr>
        <u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Monthly geo mean is ≤ 126 cfu/100mL.</t>
    </r>
  </si>
  <si>
    <t>Not Supported</t>
  </si>
  <si>
    <r>
      <t xml:space="preserve">˃ </t>
    </r>
    <r>
      <rPr>
        <sz val="12"/>
        <color theme="1"/>
        <rFont val="Times New Roman"/>
        <family val="1"/>
      </rPr>
      <t xml:space="preserve">10% of the sample concentrations exceed the MDLs (406 cfu/100mL) during recreational season </t>
    </r>
    <r>
      <rPr>
        <u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Monthly geo mean is &gt; 126 cfu/100mL.</t>
    </r>
  </si>
  <si>
    <t>Parameter</t>
  </si>
  <si>
    <t>Monitoring Site</t>
  </si>
  <si>
    <t>Longitude</t>
  </si>
  <si>
    <t>Latitude</t>
  </si>
  <si>
    <t>% for Determination</t>
  </si>
  <si>
    <t># Samples Planned</t>
  </si>
  <si>
    <t># Samples Required</t>
  </si>
  <si>
    <t># Actual Sampled</t>
  </si>
  <si>
    <t>Criteria Level (p21 OWQS) Chap 45</t>
  </si>
  <si>
    <t>Site Total Samples Exceeding</t>
  </si>
  <si>
    <t>% Exceedance</t>
  </si>
  <si>
    <t>Primary Body Contact/Recreation Beneficial Use</t>
  </si>
  <si>
    <r>
      <rPr>
        <b/>
        <u/>
        <sz val="11"/>
        <color theme="1"/>
        <rFont val="Calibri"/>
        <family val="2"/>
        <scheme val="minor"/>
      </rPr>
      <t xml:space="preserve">&gt; </t>
    </r>
    <r>
      <rPr>
        <b/>
        <sz val="11"/>
        <color theme="1"/>
        <rFont val="Calibri"/>
        <family val="2"/>
        <scheme val="minor"/>
      </rPr>
      <t>75% Required</t>
    </r>
  </si>
  <si>
    <t>Numerical Criteria (MPN)</t>
  </si>
  <si>
    <t>Geometric Mean (MPN)</t>
  </si>
  <si>
    <t>Supporting Use</t>
  </si>
  <si>
    <t>Not Supporting Use</t>
  </si>
  <si>
    <r>
      <rPr>
        <b/>
        <u/>
        <sz val="11"/>
        <color theme="1"/>
        <rFont val="Calibri"/>
        <family val="2"/>
        <scheme val="minor"/>
      </rPr>
      <t xml:space="preserve">&lt; </t>
    </r>
    <r>
      <rPr>
        <b/>
        <sz val="11"/>
        <color theme="1"/>
        <rFont val="Calibri"/>
        <family val="2"/>
        <scheme val="minor"/>
      </rPr>
      <t>10% Exceedance</t>
    </r>
  </si>
  <si>
    <t>&gt; 10% Exceedance</t>
  </si>
  <si>
    <t>Ecoli</t>
  </si>
  <si>
    <t>Bellcow Creek 001</t>
  </si>
  <si>
    <t>Deep Fork River</t>
  </si>
  <si>
    <t>Deep Fork River 002</t>
  </si>
  <si>
    <t>Deep Fork River 003</t>
  </si>
  <si>
    <t>Dry Creek 001</t>
  </si>
  <si>
    <t>Quapaw Creek 001</t>
  </si>
  <si>
    <t>Robinson Creek 001 *</t>
  </si>
  <si>
    <t>Veteran's Lake **</t>
  </si>
  <si>
    <t>Veteran's Lake 002 **</t>
  </si>
  <si>
    <t>N/A</t>
  </si>
  <si>
    <t>Veteran's Lake 003 **</t>
  </si>
  <si>
    <t>Veteran's Lake 004 **</t>
  </si>
  <si>
    <t>Veteran's Lake 005 **</t>
  </si>
  <si>
    <t>*</t>
  </si>
  <si>
    <t>Robinson Creek 001</t>
  </si>
  <si>
    <t>cannot make determination.  Insufficinet sampling due to lack of flows.  Discontinuing sampling at this site in future due to this issue.</t>
  </si>
  <si>
    <t>**</t>
  </si>
  <si>
    <t>Veteran's Lake</t>
  </si>
  <si>
    <t>All Veteran's Lake sites assessed as one determination.</t>
  </si>
  <si>
    <t>Warm Water Aquatic Community Beneficial Use</t>
  </si>
  <si>
    <t>Parameters:</t>
  </si>
  <si>
    <t>Dissolved Ovygen, Temperature, pH, and Turbidity</t>
  </si>
  <si>
    <t>Oklahoma Water Quality Standards (Chapter 45 (p16))</t>
  </si>
  <si>
    <r>
      <t xml:space="preserve">≤ </t>
    </r>
    <r>
      <rPr>
        <sz val="12"/>
        <color theme="1"/>
        <rFont val="Times New Roman"/>
        <family val="1"/>
      </rPr>
      <t xml:space="preserve">15% of the sample concentrations exceed the MDLs </t>
    </r>
  </si>
  <si>
    <r>
      <t xml:space="preserve">˃ </t>
    </r>
    <r>
      <rPr>
        <sz val="12"/>
        <color theme="1"/>
        <rFont val="Times New Roman"/>
        <family val="1"/>
      </rPr>
      <t xml:space="preserve">15% of the sample concentrations exceed the MDLs </t>
    </r>
  </si>
  <si>
    <t>Criteria Level (p16 OWQS) Chap 45</t>
  </si>
  <si>
    <t>Summer</t>
  </si>
  <si>
    <t>Winter</t>
  </si>
  <si>
    <t>Early Life Stages</t>
  </si>
  <si>
    <t>6/16-10/15</t>
  </si>
  <si>
    <t>10/16-3/31</t>
  </si>
  <si>
    <t>4/04-6/15</t>
  </si>
  <si>
    <r>
      <rPr>
        <b/>
        <u/>
        <sz val="11"/>
        <color theme="1"/>
        <rFont val="Calibri"/>
        <family val="2"/>
        <scheme val="minor"/>
      </rPr>
      <t xml:space="preserve">&lt; </t>
    </r>
    <r>
      <rPr>
        <b/>
        <sz val="11"/>
        <color theme="1"/>
        <rFont val="Calibri"/>
        <family val="2"/>
        <scheme val="minor"/>
      </rPr>
      <t>15% Exceedance</t>
    </r>
  </si>
  <si>
    <t>&gt; 15% Exceedance</t>
  </si>
  <si>
    <t>DO</t>
  </si>
  <si>
    <r>
      <rPr>
        <u/>
        <sz val="11"/>
        <color theme="1"/>
        <rFont val="Calibri"/>
        <family val="2"/>
        <scheme val="minor"/>
      </rPr>
      <t xml:space="preserve">&gt; </t>
    </r>
    <r>
      <rPr>
        <sz val="11"/>
        <color theme="1"/>
        <rFont val="Calibri"/>
        <family val="2"/>
        <scheme val="minor"/>
      </rPr>
      <t>5.0 mg/L</t>
    </r>
  </si>
  <si>
    <r>
      <rPr>
        <u/>
        <sz val="11"/>
        <color theme="1"/>
        <rFont val="Calibri"/>
        <family val="2"/>
        <scheme val="minor"/>
      </rPr>
      <t>&gt; 6</t>
    </r>
    <r>
      <rPr>
        <sz val="11"/>
        <color theme="1"/>
        <rFont val="Calibri"/>
        <family val="2"/>
        <scheme val="minor"/>
      </rPr>
      <t>.0 mg/L</t>
    </r>
  </si>
  <si>
    <t>Criteria Level (p17 OWQS) Chap 45</t>
  </si>
  <si>
    <t>Temperature</t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</si>
  <si>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32</t>
    </r>
    <r>
      <rPr>
        <sz val="11"/>
        <color theme="1"/>
        <rFont val="Calibri"/>
        <family val="2"/>
      </rPr>
      <t>°C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</si>
  <si>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18°C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</si>
  <si>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25°C</t>
    </r>
  </si>
  <si>
    <t>Low Range</t>
  </si>
  <si>
    <t>High Range</t>
  </si>
  <si>
    <t>pH</t>
  </si>
  <si>
    <r>
      <rPr>
        <u/>
        <sz val="11"/>
        <color theme="1"/>
        <rFont val="Calibri"/>
        <family val="2"/>
        <scheme val="minor"/>
      </rPr>
      <t>&gt;</t>
    </r>
    <r>
      <rPr>
        <sz val="11"/>
        <color theme="1"/>
        <rFont val="Calibri"/>
        <family val="2"/>
        <scheme val="minor"/>
      </rPr>
      <t xml:space="preserve"> 6.5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</si>
  <si>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9.0</t>
    </r>
  </si>
  <si>
    <t>Criteria Level (p19 OWQS) Chap 45</t>
  </si>
  <si>
    <t>Max Range</t>
  </si>
  <si>
    <t>Turbidity</t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</si>
  <si>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50 ntu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</si>
  <si>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25 ntu</t>
    </r>
  </si>
  <si>
    <r>
      <t xml:space="preserve">Agricultural Use </t>
    </r>
    <r>
      <rPr>
        <b/>
        <sz val="16"/>
        <color theme="1"/>
        <rFont val="Calibri"/>
        <family val="2"/>
        <scheme val="minor"/>
      </rPr>
      <t>(Livestock Watering and Agricultural Watering)</t>
    </r>
  </si>
  <si>
    <t>Chloride, Sulfate, and TDS</t>
  </si>
  <si>
    <t>Oklahoma Water Quality Standards (Chapter 45 (p19-20))</t>
  </si>
  <si>
    <r>
      <t xml:space="preserve">If the mean of all the chlorides, sulfates and TDS sample concentrations do not exceed the yearly mean and no more than </t>
    </r>
    <r>
      <rPr>
        <b/>
        <u/>
        <sz val="11"/>
        <color theme="1"/>
        <rFont val="Calibri"/>
        <family val="2"/>
        <scheme val="minor"/>
      </rPr>
      <t>10%</t>
    </r>
    <r>
      <rPr>
        <sz val="11"/>
        <color theme="1"/>
        <rFont val="Calibri"/>
        <family val="2"/>
        <scheme val="minor"/>
      </rPr>
      <t xml:space="preserve"> of the sample concentrations exceed the sample standard. OR Or, if all of the chloride and sulfate sample concentrations are less than 250 mg/l and all the TDS sample concentrations are less than 750 mg/l then the beneficial use is Supported.</t>
    </r>
  </si>
  <si>
    <r>
      <t xml:space="preserve">If the mean of all the chlorides, sulfates and TDS sample concentrations exceed the yearly mean (750 mg/l) and more than </t>
    </r>
    <r>
      <rPr>
        <b/>
        <u/>
        <sz val="11"/>
        <color theme="1"/>
        <rFont val="Calibri"/>
        <family val="2"/>
        <scheme val="minor"/>
      </rPr>
      <t>10%</t>
    </r>
    <r>
      <rPr>
        <sz val="11"/>
        <color theme="1"/>
        <rFont val="Calibri"/>
        <family val="2"/>
        <scheme val="minor"/>
      </rPr>
      <t xml:space="preserve"> of the sample concentrations exceed the criteria standard considered Not Supporting.</t>
    </r>
  </si>
  <si>
    <t>Criteria Level (p19-20 OWQS) Chap 45</t>
  </si>
  <si>
    <r>
      <rPr>
        <b/>
        <u/>
        <sz val="11"/>
        <color theme="1"/>
        <rFont val="Calibri"/>
        <family val="2"/>
        <scheme val="minor"/>
      </rPr>
      <t>&lt; 10</t>
    </r>
    <r>
      <rPr>
        <b/>
        <sz val="11"/>
        <color theme="1"/>
        <rFont val="Calibri"/>
        <family val="2"/>
        <scheme val="minor"/>
      </rPr>
      <t>% Exceed Standard</t>
    </r>
  </si>
  <si>
    <t>Chloride</t>
  </si>
  <si>
    <r>
      <rPr>
        <u/>
        <sz val="11"/>
        <color theme="1"/>
        <rFont val="Calibri"/>
        <family val="2"/>
        <scheme val="minor"/>
      </rPr>
      <t xml:space="preserve">&lt; </t>
    </r>
    <r>
      <rPr>
        <sz val="11"/>
        <color theme="1"/>
        <rFont val="Calibri"/>
        <family val="2"/>
        <scheme val="minor"/>
      </rPr>
      <t>250 mg/L</t>
    </r>
  </si>
  <si>
    <r>
      <rPr>
        <u/>
        <sz val="11"/>
        <rFont val="Calibri"/>
        <family val="2"/>
        <scheme val="minor"/>
      </rPr>
      <t xml:space="preserve">&lt; </t>
    </r>
    <r>
      <rPr>
        <sz val="11"/>
        <rFont val="Calibri"/>
        <family val="2"/>
        <scheme val="minor"/>
      </rPr>
      <t>250 mg/L</t>
    </r>
  </si>
  <si>
    <t>Quapaw Creek 001 ***</t>
  </si>
  <si>
    <t>Sulfate</t>
  </si>
  <si>
    <t>TDS</t>
  </si>
  <si>
    <r>
      <rPr>
        <u/>
        <sz val="11"/>
        <color theme="1"/>
        <rFont val="Calibri"/>
        <family val="2"/>
        <scheme val="minor"/>
      </rPr>
      <t>&lt; 7</t>
    </r>
    <r>
      <rPr>
        <sz val="11"/>
        <color theme="1"/>
        <rFont val="Calibri"/>
        <family val="2"/>
        <scheme val="minor"/>
      </rPr>
      <t>50 mg/L</t>
    </r>
  </si>
  <si>
    <t>cannot make determination.  Insufficinet sampling due to lack of flows.</t>
  </si>
  <si>
    <t>Nutrient Threatened Determination</t>
  </si>
  <si>
    <t>Total Phosphorus, Nitrogen (Nitrate + Nitrite), Turbidity</t>
  </si>
  <si>
    <t>EPA Aggregate Nutrient Ecoregion IX</t>
  </si>
  <si>
    <t xml:space="preserve">https://www.epa.gov/sites/production/files/2014-08/documents/criteria-nutrient-ecoregions-sumtable.pdf </t>
  </si>
  <si>
    <t>If less than or equal to 15% all of the Total Phosphorus, Total Nitrogen, and Turbidity do not exceed threshholds then considered Not Threatened.</t>
  </si>
  <si>
    <t>If  more than 15% of the sample concentrations exceed the threshhold then considered Threatened.</t>
  </si>
  <si>
    <t>Criteria Level</t>
  </si>
  <si>
    <t>Nutrient Threat Assessment</t>
  </si>
  <si>
    <t>(EPA Aggregate Nutrient Ecoregion IX)</t>
  </si>
  <si>
    <t>Not Threatened</t>
  </si>
  <si>
    <t>Threatened</t>
  </si>
  <si>
    <r>
      <rPr>
        <b/>
        <u/>
        <sz val="11"/>
        <color theme="1"/>
        <rFont val="Calibri"/>
        <family val="2"/>
        <scheme val="minor"/>
      </rPr>
      <t xml:space="preserve">&lt; </t>
    </r>
    <r>
      <rPr>
        <b/>
        <sz val="11"/>
        <color theme="1"/>
        <rFont val="Calibri"/>
        <family val="2"/>
        <scheme val="minor"/>
      </rPr>
      <t>15% Exceedance (mg/L)</t>
    </r>
  </si>
  <si>
    <t>Total Phosphorus</t>
  </si>
  <si>
    <r>
      <t xml:space="preserve">Total Nitrogen </t>
    </r>
    <r>
      <rPr>
        <b/>
        <sz val="8"/>
        <color theme="4" tint="-0.249977111117893"/>
        <rFont val="Calibri"/>
        <family val="2"/>
        <scheme val="minor"/>
      </rPr>
      <t>(Nitrite + Nitrate)</t>
    </r>
  </si>
  <si>
    <r>
      <rPr>
        <b/>
        <u/>
        <sz val="11"/>
        <color theme="1"/>
        <rFont val="Calibri"/>
        <family val="2"/>
        <scheme val="minor"/>
      </rPr>
      <t xml:space="preserve">&lt; </t>
    </r>
    <r>
      <rPr>
        <b/>
        <sz val="11"/>
        <color theme="1"/>
        <rFont val="Calibri"/>
        <family val="2"/>
        <scheme val="minor"/>
      </rPr>
      <t>15% Exceedance NTU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</si>
</sst>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u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B95A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9" fontId="3" fillId="0" borderId="8" xfId="1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9" fontId="0" fillId="3" borderId="16" xfId="1" applyFont="1" applyFill="1" applyBorder="1" applyAlignment="1">
      <alignment horizontal="center" vertical="center"/>
    </xf>
    <xf numFmtId="164" fontId="0" fillId="6" borderId="16" xfId="0" applyNumberFormat="1" applyFill="1" applyBorder="1" applyAlignment="1">
      <alignment horizontal="center" vertical="center"/>
    </xf>
    <xf numFmtId="9" fontId="0" fillId="3" borderId="16" xfId="0" applyNumberFormat="1" applyFill="1" applyBorder="1" applyAlignment="1">
      <alignment horizontal="center" vertical="center"/>
    </xf>
    <xf numFmtId="9" fontId="0" fillId="3" borderId="17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9" fontId="0" fillId="3" borderId="10" xfId="1" applyFont="1" applyFill="1" applyBorder="1" applyAlignment="1">
      <alignment horizontal="center" vertical="center"/>
    </xf>
    <xf numFmtId="9" fontId="0" fillId="3" borderId="10" xfId="0" applyNumberFormat="1" applyFill="1" applyBorder="1" applyAlignment="1">
      <alignment horizontal="center" vertical="center"/>
    </xf>
    <xf numFmtId="9" fontId="0" fillId="3" borderId="11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9" fontId="0" fillId="2" borderId="10" xfId="0" applyNumberFormat="1" applyFill="1" applyBorder="1" applyAlignment="1">
      <alignment horizontal="center" vertical="center"/>
    </xf>
    <xf numFmtId="9" fontId="0" fillId="2" borderId="11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9" fontId="0" fillId="2" borderId="19" xfId="0" applyNumberFormat="1" applyFill="1" applyBorder="1" applyAlignment="1">
      <alignment horizontal="center" vertical="center"/>
    </xf>
    <xf numFmtId="9" fontId="0" fillId="2" borderId="20" xfId="0" applyNumberForma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9" fontId="0" fillId="3" borderId="8" xfId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9" fontId="0" fillId="2" borderId="10" xfId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9" fontId="0" fillId="2" borderId="19" xfId="1" applyFont="1" applyFill="1" applyBorder="1" applyAlignment="1">
      <alignment horizontal="center" vertical="center"/>
    </xf>
    <xf numFmtId="9" fontId="0" fillId="2" borderId="13" xfId="1" applyFont="1" applyFill="1" applyBorder="1" applyAlignment="1">
      <alignment horizontal="center" vertical="center"/>
    </xf>
    <xf numFmtId="9" fontId="0" fillId="2" borderId="13" xfId="0" applyNumberFormat="1" applyFill="1" applyBorder="1" applyAlignment="1">
      <alignment horizontal="center" vertical="center"/>
    </xf>
    <xf numFmtId="9" fontId="0" fillId="2" borderId="14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/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2" fillId="6" borderId="16" xfId="0" applyFont="1" applyFill="1" applyBorder="1" applyAlignment="1">
      <alignment horizontal="center" vertical="center"/>
    </xf>
    <xf numFmtId="165" fontId="0" fillId="6" borderId="16" xfId="0" applyNumberForma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9" fontId="3" fillId="0" borderId="35" xfId="1" applyFont="1" applyBorder="1" applyAlignment="1">
      <alignment horizontal="center" vertical="center"/>
    </xf>
    <xf numFmtId="9" fontId="3" fillId="0" borderId="33" xfId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9" fontId="3" fillId="0" borderId="10" xfId="1" applyFont="1" applyBorder="1" applyAlignment="1">
      <alignment horizontal="center" vertical="center"/>
    </xf>
    <xf numFmtId="9" fontId="3" fillId="0" borderId="13" xfId="1" applyFont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5" fillId="0" borderId="1" xfId="0" applyFont="1" applyBorder="1" applyAlignment="1">
      <alignment horizontal="left"/>
    </xf>
    <xf numFmtId="9" fontId="0" fillId="0" borderId="2" xfId="1" applyFont="1" applyBorder="1" applyAlignment="1">
      <alignment horizontal="center"/>
    </xf>
    <xf numFmtId="9" fontId="0" fillId="0" borderId="3" xfId="1" applyFont="1" applyBorder="1" applyAlignment="1">
      <alignment horizontal="center"/>
    </xf>
    <xf numFmtId="9" fontId="0" fillId="0" borderId="26" xfId="1" applyFont="1" applyBorder="1" applyAlignment="1">
      <alignment horizontal="center"/>
    </xf>
    <xf numFmtId="9" fontId="0" fillId="0" borderId="27" xfId="1" applyFont="1" applyBorder="1" applyAlignment="1">
      <alignment horizontal="center"/>
    </xf>
    <xf numFmtId="9" fontId="0" fillId="0" borderId="28" xfId="1" applyFont="1" applyBorder="1" applyAlignment="1">
      <alignment horizontal="center"/>
    </xf>
    <xf numFmtId="9" fontId="0" fillId="0" borderId="29" xfId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0" fillId="2" borderId="45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164" fontId="0" fillId="2" borderId="45" xfId="0" applyNumberFormat="1" applyFill="1" applyBorder="1" applyAlignment="1">
      <alignment horizontal="center" vertical="center"/>
    </xf>
    <xf numFmtId="164" fontId="0" fillId="2" borderId="46" xfId="0" applyNumberFormat="1" applyFill="1" applyBorder="1" applyAlignment="1">
      <alignment horizontal="center" vertical="center"/>
    </xf>
    <xf numFmtId="164" fontId="0" fillId="2" borderId="47" xfId="0" applyNumberFormat="1" applyFill="1" applyBorder="1" applyAlignment="1">
      <alignment horizontal="center" vertical="center"/>
    </xf>
    <xf numFmtId="164" fontId="0" fillId="6" borderId="40" xfId="0" applyNumberFormat="1" applyFill="1" applyBorder="1" applyAlignment="1">
      <alignment horizontal="center" vertical="center"/>
    </xf>
    <xf numFmtId="164" fontId="0" fillId="6" borderId="41" xfId="0" applyNumberFormat="1" applyFill="1" applyBorder="1" applyAlignment="1">
      <alignment horizontal="center" vertical="center"/>
    </xf>
    <xf numFmtId="164" fontId="0" fillId="6" borderId="42" xfId="0" applyNumberFormat="1" applyFill="1" applyBorder="1" applyAlignment="1">
      <alignment horizontal="center" vertical="center"/>
    </xf>
    <xf numFmtId="164" fontId="0" fillId="6" borderId="43" xfId="0" applyNumberFormat="1" applyFill="1" applyBorder="1" applyAlignment="1">
      <alignment horizontal="center" vertical="center"/>
    </xf>
    <xf numFmtId="164" fontId="0" fillId="6" borderId="24" xfId="0" applyNumberFormat="1" applyFill="1" applyBorder="1" applyAlignment="1">
      <alignment horizontal="center" vertical="center"/>
    </xf>
    <xf numFmtId="164" fontId="0" fillId="6" borderId="44" xfId="0" applyNumberFormat="1" applyFill="1" applyBorder="1" applyAlignment="1">
      <alignment horizontal="center" vertical="center"/>
    </xf>
    <xf numFmtId="164" fontId="0" fillId="2" borderId="43" xfId="0" applyNumberFormat="1" applyFill="1" applyBorder="1" applyAlignment="1">
      <alignment horizontal="center" vertical="center"/>
    </xf>
    <xf numFmtId="164" fontId="0" fillId="2" borderId="24" xfId="0" applyNumberFormat="1" applyFill="1" applyBorder="1" applyAlignment="1">
      <alignment horizontal="center" vertical="center"/>
    </xf>
    <xf numFmtId="164" fontId="0" fillId="2" borderId="44" xfId="0" applyNumberFormat="1" applyFill="1" applyBorder="1" applyAlignment="1">
      <alignment horizontal="center" vertical="center"/>
    </xf>
    <xf numFmtId="164" fontId="12" fillId="6" borderId="43" xfId="0" applyNumberFormat="1" applyFont="1" applyFill="1" applyBorder="1" applyAlignment="1">
      <alignment horizontal="center" vertical="center"/>
    </xf>
    <xf numFmtId="164" fontId="12" fillId="6" borderId="24" xfId="0" applyNumberFormat="1" applyFont="1" applyFill="1" applyBorder="1" applyAlignment="1">
      <alignment horizontal="center" vertical="center"/>
    </xf>
    <xf numFmtId="164" fontId="12" fillId="6" borderId="44" xfId="0" applyNumberFormat="1" applyFont="1" applyFill="1" applyBorder="1" applyAlignment="1">
      <alignment horizontal="center" vertical="center"/>
    </xf>
    <xf numFmtId="0" fontId="0" fillId="0" borderId="23" xfId="0" applyFont="1" applyBorder="1" applyAlignment="1">
      <alignment horizontal="left" wrapText="1"/>
    </xf>
    <xf numFmtId="0" fontId="0" fillId="0" borderId="24" xfId="0" applyFont="1" applyBorder="1" applyAlignment="1">
      <alignment horizontal="left" wrapText="1"/>
    </xf>
    <xf numFmtId="0" fontId="0" fillId="0" borderId="48" xfId="0" applyFont="1" applyBorder="1" applyAlignment="1">
      <alignment horizontal="left" wrapText="1"/>
    </xf>
    <xf numFmtId="0" fontId="0" fillId="0" borderId="27" xfId="0" applyFont="1" applyBorder="1" applyAlignment="1">
      <alignment horizontal="left"/>
    </xf>
    <xf numFmtId="0" fontId="0" fillId="0" borderId="28" xfId="0" applyFont="1" applyBorder="1" applyAlignment="1">
      <alignment horizontal="left"/>
    </xf>
    <xf numFmtId="0" fontId="0" fillId="0" borderId="29" xfId="0" applyFont="1" applyBorder="1" applyAlignment="1">
      <alignment horizontal="left"/>
    </xf>
    <xf numFmtId="0" fontId="0" fillId="0" borderId="51" xfId="0" applyFont="1" applyBorder="1" applyAlignment="1">
      <alignment horizontal="left"/>
    </xf>
    <xf numFmtId="0" fontId="0" fillId="0" borderId="46" xfId="0" applyFont="1" applyBorder="1" applyAlignment="1">
      <alignment horizontal="left"/>
    </xf>
    <xf numFmtId="0" fontId="0" fillId="0" borderId="49" xfId="0" applyFont="1" applyBorder="1" applyAlignment="1">
      <alignment horizontal="left"/>
    </xf>
    <xf numFmtId="0" fontId="0" fillId="0" borderId="48" xfId="0" applyBorder="1" applyAlignment="1">
      <alignment horizontal="left"/>
    </xf>
    <xf numFmtId="0" fontId="4" fillId="0" borderId="5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0" fontId="15" fillId="0" borderId="1" xfId="2" applyBorder="1" applyAlignment="1">
      <alignment horizontal="left" wrapText="1"/>
    </xf>
    <xf numFmtId="0" fontId="0" fillId="0" borderId="1" xfId="0" applyFont="1" applyBorder="1" applyAlignment="1">
      <alignment horizontal="left" wrapText="1"/>
    </xf>
  </cellXfs>
  <cellStyles count="3">
    <cellStyle name="Hyperlink" xfId="2" builtinId="8"/>
    <cellStyle name="Normal" xfId="0" builtinId="0"/>
    <cellStyle name="Percent" xfId="1" builtinId="5"/>
  </cellStyles>
  <dxfs count="5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B95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epa.gov/sites/production/files/2014-08/documents/criteria-nutrient-ecoregions-sumtabl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="110" zoomScaleNormal="110" workbookViewId="0">
      <selection activeCell="A26" sqref="A26"/>
    </sheetView>
  </sheetViews>
  <sheetFormatPr defaultColWidth="10.42578125" defaultRowHeight="15" x14ac:dyDescent="0.25"/>
  <cols>
    <col min="1" max="1" width="14.28515625" style="1" bestFit="1" customWidth="1"/>
    <col min="2" max="2" width="21.42578125" style="1" bestFit="1" customWidth="1"/>
    <col min="3" max="3" width="10" style="1" bestFit="1" customWidth="1"/>
    <col min="4" max="4" width="10.7109375" style="1" bestFit="1" customWidth="1"/>
    <col min="5" max="5" width="19.28515625" style="3" bestFit="1" customWidth="1"/>
    <col min="6" max="6" width="9.7109375" style="1" bestFit="1" customWidth="1"/>
    <col min="7" max="7" width="10.5703125" style="1" bestFit="1" customWidth="1"/>
    <col min="8" max="8" width="8.42578125" style="1" bestFit="1" customWidth="1"/>
    <col min="9" max="9" width="17.42578125" style="1" bestFit="1" customWidth="1"/>
    <col min="10" max="10" width="15.85546875" style="1" bestFit="1" customWidth="1"/>
    <col min="11" max="11" width="13.85546875" style="1" customWidth="1"/>
    <col min="12" max="12" width="15.85546875" style="3" customWidth="1"/>
    <col min="13" max="13" width="22.85546875" style="1" customWidth="1"/>
    <col min="14" max="14" width="20.7109375" style="1" customWidth="1"/>
    <col min="15" max="16384" width="10.42578125" style="1"/>
  </cols>
  <sheetData>
    <row r="1" spans="1:15" s="2" customFormat="1" ht="26.25" x14ac:dyDescent="0.4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5" s="2" customFormat="1" x14ac:dyDescent="0.25">
      <c r="A2" s="6" t="s">
        <v>1</v>
      </c>
      <c r="B2" s="77" t="s">
        <v>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67"/>
    </row>
    <row r="3" spans="1:15" s="2" customFormat="1" x14ac:dyDescent="0.25">
      <c r="A3" s="6" t="s">
        <v>1</v>
      </c>
      <c r="B3" s="6" t="s">
        <v>3</v>
      </c>
      <c r="C3" s="77" t="s">
        <v>4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68"/>
    </row>
    <row r="4" spans="1:15" s="2" customFormat="1" x14ac:dyDescent="0.25">
      <c r="A4" s="6" t="s">
        <v>5</v>
      </c>
      <c r="B4" s="77" t="s">
        <v>6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67"/>
    </row>
    <row r="5" spans="1:15" s="2" customFormat="1" ht="20.25" x14ac:dyDescent="0.3">
      <c r="A5" s="12" t="s">
        <v>7</v>
      </c>
      <c r="B5" s="78" t="s">
        <v>8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80"/>
    </row>
    <row r="6" spans="1:15" s="2" customFormat="1" ht="21" thickBot="1" x14ac:dyDescent="0.35">
      <c r="A6" s="13" t="s">
        <v>9</v>
      </c>
      <c r="B6" s="81" t="s">
        <v>10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3"/>
    </row>
    <row r="7" spans="1:15" s="4" customFormat="1" ht="16.5" thickTop="1" thickBot="1" x14ac:dyDescent="0.3">
      <c r="A7" s="86" t="s">
        <v>11</v>
      </c>
      <c r="B7" s="89" t="s">
        <v>12</v>
      </c>
      <c r="C7" s="89" t="s">
        <v>13</v>
      </c>
      <c r="D7" s="89" t="s">
        <v>14</v>
      </c>
      <c r="E7" s="15" t="s">
        <v>15</v>
      </c>
      <c r="F7" s="92" t="s">
        <v>16</v>
      </c>
      <c r="G7" s="92" t="s">
        <v>17</v>
      </c>
      <c r="H7" s="92" t="s">
        <v>18</v>
      </c>
      <c r="I7" s="89" t="s">
        <v>19</v>
      </c>
      <c r="J7" s="89"/>
      <c r="K7" s="92" t="s">
        <v>20</v>
      </c>
      <c r="L7" s="99" t="s">
        <v>21</v>
      </c>
      <c r="M7" s="97" t="s">
        <v>22</v>
      </c>
      <c r="N7" s="98"/>
    </row>
    <row r="8" spans="1:15" s="5" customFormat="1" ht="15.75" thickTop="1" x14ac:dyDescent="0.25">
      <c r="A8" s="87"/>
      <c r="B8" s="90"/>
      <c r="C8" s="90"/>
      <c r="D8" s="90"/>
      <c r="E8" s="95" t="s">
        <v>23</v>
      </c>
      <c r="F8" s="93"/>
      <c r="G8" s="93"/>
      <c r="H8" s="93"/>
      <c r="I8" s="93" t="s">
        <v>24</v>
      </c>
      <c r="J8" s="93" t="s">
        <v>25</v>
      </c>
      <c r="K8" s="93"/>
      <c r="L8" s="100"/>
      <c r="M8" s="8" t="s">
        <v>26</v>
      </c>
      <c r="N8" s="10" t="s">
        <v>27</v>
      </c>
    </row>
    <row r="9" spans="1:15" s="5" customFormat="1" ht="15.75" thickBot="1" x14ac:dyDescent="0.3">
      <c r="A9" s="88"/>
      <c r="B9" s="91"/>
      <c r="C9" s="91"/>
      <c r="D9" s="91"/>
      <c r="E9" s="96"/>
      <c r="F9" s="94"/>
      <c r="G9" s="94"/>
      <c r="H9" s="94"/>
      <c r="I9" s="94"/>
      <c r="J9" s="94"/>
      <c r="K9" s="94"/>
      <c r="L9" s="101"/>
      <c r="M9" s="9" t="s">
        <v>28</v>
      </c>
      <c r="N9" s="11" t="s">
        <v>29</v>
      </c>
    </row>
    <row r="10" spans="1:15" ht="15.75" thickTop="1" x14ac:dyDescent="0.25">
      <c r="A10" s="52" t="s">
        <v>30</v>
      </c>
      <c r="B10" s="17" t="s">
        <v>31</v>
      </c>
      <c r="C10" s="17">
        <v>35.651971000000003</v>
      </c>
      <c r="D10" s="17">
        <v>-96.893034</v>
      </c>
      <c r="E10" s="18">
        <f>H10/F10</f>
        <v>0.83333333333333337</v>
      </c>
      <c r="F10" s="17">
        <v>18</v>
      </c>
      <c r="G10" s="17">
        <f>F10*0.75</f>
        <v>13.5</v>
      </c>
      <c r="H10" s="17">
        <v>15</v>
      </c>
      <c r="I10" s="39">
        <v>406</v>
      </c>
      <c r="J10" s="39">
        <v>126</v>
      </c>
      <c r="K10" s="17">
        <v>6</v>
      </c>
      <c r="L10" s="18">
        <f>K10/H10</f>
        <v>0.4</v>
      </c>
      <c r="M10" s="20">
        <f t="shared" ref="M10:M21" si="0">L10</f>
        <v>0.4</v>
      </c>
      <c r="N10" s="21">
        <f t="shared" ref="N10:N11" si="1">L10</f>
        <v>0.4</v>
      </c>
      <c r="O10" s="2"/>
    </row>
    <row r="11" spans="1:15" x14ac:dyDescent="0.25">
      <c r="A11" s="53" t="s">
        <v>30</v>
      </c>
      <c r="B11" s="22" t="s">
        <v>32</v>
      </c>
      <c r="C11" s="22">
        <v>35.666381999999999</v>
      </c>
      <c r="D11" s="22">
        <v>-96.679903999999993</v>
      </c>
      <c r="E11" s="23">
        <f t="shared" ref="E11:E21" si="2">H11/F11</f>
        <v>0.95833333333333337</v>
      </c>
      <c r="F11" s="22">
        <v>24</v>
      </c>
      <c r="G11" s="22">
        <f t="shared" ref="G11:G21" si="3">F11*0.75</f>
        <v>18</v>
      </c>
      <c r="H11" s="22">
        <v>23</v>
      </c>
      <c r="I11" s="54">
        <v>406</v>
      </c>
      <c r="J11" s="54">
        <v>126</v>
      </c>
      <c r="K11" s="22">
        <v>1</v>
      </c>
      <c r="L11" s="23">
        <f t="shared" ref="L11:L21" si="4">K11/H11</f>
        <v>4.3478260869565216E-2</v>
      </c>
      <c r="M11" s="24">
        <f t="shared" si="0"/>
        <v>4.3478260869565216E-2</v>
      </c>
      <c r="N11" s="25">
        <f t="shared" si="1"/>
        <v>4.3478260869565216E-2</v>
      </c>
      <c r="O11" s="2"/>
    </row>
    <row r="12" spans="1:15" x14ac:dyDescent="0.25">
      <c r="A12" s="55" t="s">
        <v>30</v>
      </c>
      <c r="B12" s="26" t="s">
        <v>33</v>
      </c>
      <c r="C12" s="26">
        <v>35.642229999999998</v>
      </c>
      <c r="D12" s="26">
        <v>-96.822198</v>
      </c>
      <c r="E12" s="27">
        <f t="shared" si="2"/>
        <v>0.94444444444444442</v>
      </c>
      <c r="F12" s="26">
        <v>18</v>
      </c>
      <c r="G12" s="26">
        <f t="shared" si="3"/>
        <v>13.5</v>
      </c>
      <c r="H12" s="26">
        <v>17</v>
      </c>
      <c r="I12" s="54">
        <v>406</v>
      </c>
      <c r="J12" s="54">
        <v>126</v>
      </c>
      <c r="K12" s="26">
        <v>0</v>
      </c>
      <c r="L12" s="27">
        <f t="shared" si="4"/>
        <v>0</v>
      </c>
      <c r="M12" s="28">
        <f t="shared" si="0"/>
        <v>0</v>
      </c>
      <c r="N12" s="29">
        <f t="shared" ref="N12" si="5">L12</f>
        <v>0</v>
      </c>
      <c r="O12" s="2"/>
    </row>
    <row r="13" spans="1:15" x14ac:dyDescent="0.25">
      <c r="A13" s="53" t="s">
        <v>30</v>
      </c>
      <c r="B13" s="22" t="s">
        <v>34</v>
      </c>
      <c r="C13" s="22">
        <v>35.640510999999996</v>
      </c>
      <c r="D13" s="22">
        <v>-96.910903000000005</v>
      </c>
      <c r="E13" s="23">
        <f t="shared" si="2"/>
        <v>0.94444444444444442</v>
      </c>
      <c r="F13" s="22">
        <v>18</v>
      </c>
      <c r="G13" s="22">
        <f t="shared" si="3"/>
        <v>13.5</v>
      </c>
      <c r="H13" s="22">
        <v>17</v>
      </c>
      <c r="I13" s="54">
        <v>406</v>
      </c>
      <c r="J13" s="54">
        <v>126</v>
      </c>
      <c r="K13" s="22">
        <v>2</v>
      </c>
      <c r="L13" s="23">
        <f t="shared" si="4"/>
        <v>0.11764705882352941</v>
      </c>
      <c r="M13" s="24">
        <f t="shared" si="0"/>
        <v>0.11764705882352941</v>
      </c>
      <c r="N13" s="25">
        <f t="shared" ref="N13" si="6">L13</f>
        <v>0.11764705882352941</v>
      </c>
      <c r="O13" s="2"/>
    </row>
    <row r="14" spans="1:15" x14ac:dyDescent="0.25">
      <c r="A14" s="55" t="s">
        <v>30</v>
      </c>
      <c r="B14" s="26" t="s">
        <v>35</v>
      </c>
      <c r="C14" s="26">
        <v>35.683965000000001</v>
      </c>
      <c r="D14" s="26">
        <v>-96.698024000000004</v>
      </c>
      <c r="E14" s="27">
        <f t="shared" si="2"/>
        <v>0.77777777777777779</v>
      </c>
      <c r="F14" s="26">
        <v>18</v>
      </c>
      <c r="G14" s="26">
        <f t="shared" si="3"/>
        <v>13.5</v>
      </c>
      <c r="H14" s="26">
        <v>14</v>
      </c>
      <c r="I14" s="54">
        <v>406</v>
      </c>
      <c r="J14" s="54">
        <v>126</v>
      </c>
      <c r="K14" s="26">
        <v>6</v>
      </c>
      <c r="L14" s="27">
        <f t="shared" si="4"/>
        <v>0.42857142857142855</v>
      </c>
      <c r="M14" s="28">
        <f t="shared" si="0"/>
        <v>0.42857142857142855</v>
      </c>
      <c r="N14" s="29">
        <f t="shared" ref="N14:N21" si="7">L14</f>
        <v>0.42857142857142855</v>
      </c>
      <c r="O14" s="2"/>
    </row>
    <row r="15" spans="1:15" x14ac:dyDescent="0.25">
      <c r="A15" s="53" t="s">
        <v>30</v>
      </c>
      <c r="B15" s="22" t="s">
        <v>36</v>
      </c>
      <c r="C15" s="22">
        <v>35.621029</v>
      </c>
      <c r="D15" s="22">
        <v>-96.822177999999994</v>
      </c>
      <c r="E15" s="23">
        <f t="shared" si="2"/>
        <v>0.77777777777777779</v>
      </c>
      <c r="F15" s="22">
        <v>18</v>
      </c>
      <c r="G15" s="22">
        <f t="shared" si="3"/>
        <v>13.5</v>
      </c>
      <c r="H15" s="22">
        <v>14</v>
      </c>
      <c r="I15" s="54">
        <v>406</v>
      </c>
      <c r="J15" s="54">
        <v>126</v>
      </c>
      <c r="K15" s="22">
        <v>2</v>
      </c>
      <c r="L15" s="23">
        <f t="shared" si="4"/>
        <v>0.14285714285714285</v>
      </c>
      <c r="M15" s="24">
        <f t="shared" si="0"/>
        <v>0.14285714285714285</v>
      </c>
      <c r="N15" s="25">
        <f t="shared" si="7"/>
        <v>0.14285714285714285</v>
      </c>
      <c r="O15" s="2"/>
    </row>
    <row r="16" spans="1:15" x14ac:dyDescent="0.25">
      <c r="A16" s="55" t="s">
        <v>30</v>
      </c>
      <c r="B16" s="26" t="s">
        <v>37</v>
      </c>
      <c r="C16" s="26">
        <v>35.608344000000002</v>
      </c>
      <c r="D16" s="26">
        <v>-96.733529000000004</v>
      </c>
      <c r="E16" s="27">
        <f t="shared" si="2"/>
        <v>0.5</v>
      </c>
      <c r="F16" s="26">
        <v>18</v>
      </c>
      <c r="G16" s="26">
        <f t="shared" si="3"/>
        <v>13.5</v>
      </c>
      <c r="H16" s="26">
        <v>9</v>
      </c>
      <c r="I16" s="54">
        <v>406</v>
      </c>
      <c r="J16" s="54">
        <v>126</v>
      </c>
      <c r="K16" s="26">
        <v>6</v>
      </c>
      <c r="L16" s="27">
        <f t="shared" si="4"/>
        <v>0.66666666666666663</v>
      </c>
      <c r="M16" s="28">
        <f t="shared" si="0"/>
        <v>0.66666666666666663</v>
      </c>
      <c r="N16" s="29">
        <f t="shared" si="7"/>
        <v>0.66666666666666663</v>
      </c>
      <c r="O16" s="2"/>
    </row>
    <row r="17" spans="1:14" x14ac:dyDescent="0.25">
      <c r="A17" s="53" t="s">
        <v>30</v>
      </c>
      <c r="B17" s="22" t="s">
        <v>38</v>
      </c>
      <c r="C17" s="22">
        <v>35.677712</v>
      </c>
      <c r="D17" s="22">
        <v>-96.658317999999994</v>
      </c>
      <c r="E17" s="23">
        <f t="shared" si="2"/>
        <v>0.95833333333333337</v>
      </c>
      <c r="F17" s="22">
        <v>24</v>
      </c>
      <c r="G17" s="22">
        <f t="shared" si="3"/>
        <v>18</v>
      </c>
      <c r="H17" s="22">
        <v>23</v>
      </c>
      <c r="I17" s="54">
        <v>406</v>
      </c>
      <c r="J17" s="54">
        <v>126</v>
      </c>
      <c r="K17" s="22">
        <v>0</v>
      </c>
      <c r="L17" s="23">
        <f t="shared" si="4"/>
        <v>0</v>
      </c>
      <c r="M17" s="24">
        <f t="shared" si="0"/>
        <v>0</v>
      </c>
      <c r="N17" s="25">
        <f t="shared" si="7"/>
        <v>0</v>
      </c>
    </row>
    <row r="18" spans="1:14" x14ac:dyDescent="0.25">
      <c r="A18" s="55" t="s">
        <v>30</v>
      </c>
      <c r="B18" s="26" t="s">
        <v>39</v>
      </c>
      <c r="C18" s="26">
        <v>35.677965</v>
      </c>
      <c r="D18" s="26">
        <v>-96.657858000000004</v>
      </c>
      <c r="E18" s="56" t="e">
        <f t="shared" si="2"/>
        <v>#VALUE!</v>
      </c>
      <c r="F18" s="33" t="s">
        <v>40</v>
      </c>
      <c r="G18" s="33" t="e">
        <f t="shared" si="3"/>
        <v>#VALUE!</v>
      </c>
      <c r="H18" s="33"/>
      <c r="I18" s="33">
        <v>406</v>
      </c>
      <c r="J18" s="33">
        <v>126</v>
      </c>
      <c r="K18" s="33" t="s">
        <v>40</v>
      </c>
      <c r="L18" s="56" t="e">
        <f t="shared" si="4"/>
        <v>#VALUE!</v>
      </c>
      <c r="M18" s="31" t="e">
        <f t="shared" si="0"/>
        <v>#VALUE!</v>
      </c>
      <c r="N18" s="32" t="e">
        <f t="shared" si="7"/>
        <v>#VALUE!</v>
      </c>
    </row>
    <row r="19" spans="1:14" x14ac:dyDescent="0.25">
      <c r="A19" s="53" t="s">
        <v>30</v>
      </c>
      <c r="B19" s="22" t="s">
        <v>41</v>
      </c>
      <c r="C19" s="22">
        <v>35.677534000000001</v>
      </c>
      <c r="D19" s="22">
        <v>-96.657402000000005</v>
      </c>
      <c r="E19" s="56" t="e">
        <f t="shared" si="2"/>
        <v>#VALUE!</v>
      </c>
      <c r="F19" s="33" t="s">
        <v>40</v>
      </c>
      <c r="G19" s="33" t="e">
        <f t="shared" si="3"/>
        <v>#VALUE!</v>
      </c>
      <c r="H19" s="33"/>
      <c r="I19" s="33">
        <v>406</v>
      </c>
      <c r="J19" s="33">
        <v>126</v>
      </c>
      <c r="K19" s="33" t="s">
        <v>40</v>
      </c>
      <c r="L19" s="56" t="e">
        <f t="shared" si="4"/>
        <v>#VALUE!</v>
      </c>
      <c r="M19" s="31" t="e">
        <f t="shared" si="0"/>
        <v>#VALUE!</v>
      </c>
      <c r="N19" s="32" t="e">
        <f t="shared" si="7"/>
        <v>#VALUE!</v>
      </c>
    </row>
    <row r="20" spans="1:14" x14ac:dyDescent="0.25">
      <c r="A20" s="55" t="s">
        <v>30</v>
      </c>
      <c r="B20" s="26" t="s">
        <v>42</v>
      </c>
      <c r="C20" s="26">
        <v>35.677171999999999</v>
      </c>
      <c r="D20" s="26">
        <v>-96.658192</v>
      </c>
      <c r="E20" s="56" t="e">
        <f t="shared" si="2"/>
        <v>#VALUE!</v>
      </c>
      <c r="F20" s="33" t="s">
        <v>40</v>
      </c>
      <c r="G20" s="33" t="e">
        <f t="shared" si="3"/>
        <v>#VALUE!</v>
      </c>
      <c r="H20" s="33"/>
      <c r="I20" s="33">
        <v>406</v>
      </c>
      <c r="J20" s="33">
        <v>126</v>
      </c>
      <c r="K20" s="33" t="s">
        <v>40</v>
      </c>
      <c r="L20" s="56" t="e">
        <f t="shared" si="4"/>
        <v>#VALUE!</v>
      </c>
      <c r="M20" s="31" t="e">
        <f t="shared" si="0"/>
        <v>#VALUE!</v>
      </c>
      <c r="N20" s="32" t="e">
        <f t="shared" si="7"/>
        <v>#VALUE!</v>
      </c>
    </row>
    <row r="21" spans="1:14" ht="15.75" thickBot="1" x14ac:dyDescent="0.3">
      <c r="A21" s="57" t="s">
        <v>30</v>
      </c>
      <c r="B21" s="34" t="s">
        <v>43</v>
      </c>
      <c r="C21" s="34">
        <v>35.677579999999999</v>
      </c>
      <c r="D21" s="34">
        <v>-96.657960000000003</v>
      </c>
      <c r="E21" s="58" t="e">
        <f t="shared" si="2"/>
        <v>#VALUE!</v>
      </c>
      <c r="F21" s="35" t="s">
        <v>40</v>
      </c>
      <c r="G21" s="35" t="e">
        <f t="shared" si="3"/>
        <v>#VALUE!</v>
      </c>
      <c r="H21" s="35"/>
      <c r="I21" s="35">
        <v>406</v>
      </c>
      <c r="J21" s="35">
        <v>126</v>
      </c>
      <c r="K21" s="35" t="s">
        <v>40</v>
      </c>
      <c r="L21" s="58" t="e">
        <f t="shared" si="4"/>
        <v>#VALUE!</v>
      </c>
      <c r="M21" s="36" t="e">
        <f t="shared" si="0"/>
        <v>#VALUE!</v>
      </c>
      <c r="N21" s="37" t="e">
        <f t="shared" si="7"/>
        <v>#VALUE!</v>
      </c>
    </row>
    <row r="22" spans="1:14" x14ac:dyDescent="0.25">
      <c r="A22" s="72" t="s">
        <v>44</v>
      </c>
      <c r="B22" s="62" t="s">
        <v>45</v>
      </c>
      <c r="C22" s="85" t="s">
        <v>46</v>
      </c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2"/>
    </row>
    <row r="23" spans="1:14" x14ac:dyDescent="0.25">
      <c r="A23" s="72" t="s">
        <v>47</v>
      </c>
      <c r="B23" s="63" t="s">
        <v>48</v>
      </c>
      <c r="C23" s="77" t="s">
        <v>49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2"/>
    </row>
  </sheetData>
  <sheetProtection algorithmName="SHA-512" hashValue="OfVYvalGGYJgvxB5BaWFiectdIz9/cnZqKSBpRjRCsZ8ErPxu4TbiXYgIho3CtT+Qeqm+eowiaC+BbMxdZg5Gg==" saltValue="ora25J/3ATUVTTy1mVAY6A==" spinCount="100000" sheet="1" objects="1" scenarios="1" selectLockedCells="1" selectUnlockedCells="1"/>
  <mergeCells count="22">
    <mergeCell ref="C22:M22"/>
    <mergeCell ref="C23:M23"/>
    <mergeCell ref="A7:A9"/>
    <mergeCell ref="B7:B9"/>
    <mergeCell ref="C7:C9"/>
    <mergeCell ref="D7:D9"/>
    <mergeCell ref="F7:F9"/>
    <mergeCell ref="E8:E9"/>
    <mergeCell ref="G7:G9"/>
    <mergeCell ref="H7:H9"/>
    <mergeCell ref="K7:K9"/>
    <mergeCell ref="M7:N7"/>
    <mergeCell ref="I7:J7"/>
    <mergeCell ref="I8:I9"/>
    <mergeCell ref="J8:J9"/>
    <mergeCell ref="L7:L9"/>
    <mergeCell ref="B4:N4"/>
    <mergeCell ref="B5:N5"/>
    <mergeCell ref="B6:N6"/>
    <mergeCell ref="A1:N1"/>
    <mergeCell ref="C3:N3"/>
    <mergeCell ref="B2:N2"/>
  </mergeCells>
  <conditionalFormatting sqref="H10:H21">
    <cfRule type="cellIs" dxfId="54" priority="1" operator="equal">
      <formula>$G$10</formula>
    </cfRule>
    <cfRule type="cellIs" dxfId="53" priority="2" operator="greaterThan">
      <formula>$G$10</formula>
    </cfRule>
    <cfRule type="cellIs" dxfId="52" priority="3" operator="lessThan">
      <formula>$G$13</formula>
    </cfRule>
  </conditionalFormatting>
  <conditionalFormatting sqref="M10:M21">
    <cfRule type="cellIs" dxfId="51" priority="5" operator="greaterThan">
      <formula>0.0999</formula>
    </cfRule>
  </conditionalFormatting>
  <conditionalFormatting sqref="N10:N21">
    <cfRule type="cellIs" dxfId="50" priority="4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"/>
  <sheetViews>
    <sheetView topLeftCell="A4" workbookViewId="0">
      <selection activeCell="E17" sqref="E17"/>
    </sheetView>
  </sheetViews>
  <sheetFormatPr defaultRowHeight="15" x14ac:dyDescent="0.25"/>
  <cols>
    <col min="1" max="1" width="14.28515625" bestFit="1" customWidth="1"/>
    <col min="2" max="2" width="20.28515625" bestFit="1" customWidth="1"/>
    <col min="3" max="3" width="10" bestFit="1" customWidth="1"/>
    <col min="4" max="4" width="10.7109375" bestFit="1" customWidth="1"/>
    <col min="5" max="5" width="19.28515625" bestFit="1" customWidth="1"/>
    <col min="6" max="6" width="9.7109375" bestFit="1" customWidth="1"/>
    <col min="7" max="7" width="10.5703125" bestFit="1" customWidth="1"/>
    <col min="8" max="8" width="8.42578125" bestFit="1" customWidth="1"/>
    <col min="9" max="9" width="18.5703125" bestFit="1" customWidth="1"/>
    <col min="10" max="10" width="18.5703125" customWidth="1"/>
    <col min="11" max="11" width="16.140625" bestFit="1" customWidth="1"/>
    <col min="12" max="12" width="14.140625" customWidth="1"/>
    <col min="13" max="13" width="13.5703125" bestFit="1" customWidth="1"/>
    <col min="14" max="14" width="22.28515625" customWidth="1"/>
    <col min="15" max="15" width="23.42578125" customWidth="1"/>
  </cols>
  <sheetData>
    <row r="1" spans="1:15" ht="26.25" x14ac:dyDescent="0.4">
      <c r="A1" s="119" t="s">
        <v>50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1"/>
    </row>
    <row r="2" spans="1:15" x14ac:dyDescent="0.25">
      <c r="A2" s="7" t="s">
        <v>1</v>
      </c>
      <c r="B2" s="122" t="s">
        <v>2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4"/>
    </row>
    <row r="3" spans="1:15" x14ac:dyDescent="0.25">
      <c r="A3" s="7" t="s">
        <v>51</v>
      </c>
      <c r="B3" s="122" t="s">
        <v>52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4"/>
    </row>
    <row r="4" spans="1:15" x14ac:dyDescent="0.25">
      <c r="A4" s="7" t="s">
        <v>5</v>
      </c>
      <c r="B4" s="122" t="s">
        <v>53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</row>
    <row r="5" spans="1:15" ht="20.25" x14ac:dyDescent="0.3">
      <c r="A5" s="12" t="s">
        <v>7</v>
      </c>
      <c r="B5" s="125" t="s">
        <v>54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6"/>
      <c r="N5" s="127"/>
      <c r="O5" s="128"/>
    </row>
    <row r="6" spans="1:15" ht="21" thickBot="1" x14ac:dyDescent="0.35">
      <c r="A6" s="13" t="s">
        <v>9</v>
      </c>
      <c r="B6" s="132" t="s">
        <v>55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29"/>
      <c r="N6" s="130"/>
      <c r="O6" s="131"/>
    </row>
    <row r="7" spans="1:15" ht="16.5" thickTop="1" thickBot="1" x14ac:dyDescent="0.3">
      <c r="A7" s="89" t="s">
        <v>11</v>
      </c>
      <c r="B7" s="89" t="s">
        <v>12</v>
      </c>
      <c r="C7" s="89" t="s">
        <v>13</v>
      </c>
      <c r="D7" s="89" t="s">
        <v>14</v>
      </c>
      <c r="E7" s="15" t="s">
        <v>15</v>
      </c>
      <c r="F7" s="92" t="s">
        <v>16</v>
      </c>
      <c r="G7" s="92" t="s">
        <v>17</v>
      </c>
      <c r="H7" s="92" t="s">
        <v>18</v>
      </c>
      <c r="I7" s="89" t="s">
        <v>56</v>
      </c>
      <c r="J7" s="89"/>
      <c r="K7" s="89"/>
      <c r="L7" s="92" t="s">
        <v>20</v>
      </c>
      <c r="M7" s="99" t="s">
        <v>21</v>
      </c>
      <c r="N7" s="97" t="s">
        <v>50</v>
      </c>
      <c r="O7" s="98"/>
    </row>
    <row r="8" spans="1:15" ht="15.75" thickTop="1" x14ac:dyDescent="0.25">
      <c r="A8" s="90"/>
      <c r="B8" s="90"/>
      <c r="C8" s="90"/>
      <c r="D8" s="90"/>
      <c r="E8" s="95" t="s">
        <v>23</v>
      </c>
      <c r="F8" s="93"/>
      <c r="G8" s="93"/>
      <c r="H8" s="93"/>
      <c r="I8" s="75" t="s">
        <v>57</v>
      </c>
      <c r="J8" s="75" t="s">
        <v>58</v>
      </c>
      <c r="K8" s="75" t="s">
        <v>59</v>
      </c>
      <c r="L8" s="93"/>
      <c r="M8" s="100"/>
      <c r="N8" s="8" t="s">
        <v>26</v>
      </c>
      <c r="O8" s="10" t="s">
        <v>27</v>
      </c>
    </row>
    <row r="9" spans="1:15" ht="15.75" thickBot="1" x14ac:dyDescent="0.3">
      <c r="A9" s="91"/>
      <c r="B9" s="91"/>
      <c r="C9" s="91"/>
      <c r="D9" s="91"/>
      <c r="E9" s="96"/>
      <c r="F9" s="94"/>
      <c r="G9" s="94"/>
      <c r="H9" s="94"/>
      <c r="I9" s="76" t="s">
        <v>60</v>
      </c>
      <c r="J9" s="76" t="s">
        <v>61</v>
      </c>
      <c r="K9" s="76" t="s">
        <v>62</v>
      </c>
      <c r="L9" s="94"/>
      <c r="M9" s="101"/>
      <c r="N9" s="9" t="s">
        <v>63</v>
      </c>
      <c r="O9" s="11" t="s">
        <v>64</v>
      </c>
    </row>
    <row r="10" spans="1:15" ht="15.75" thickTop="1" x14ac:dyDescent="0.25">
      <c r="A10" s="16" t="s">
        <v>65</v>
      </c>
      <c r="B10" s="17" t="s">
        <v>31</v>
      </c>
      <c r="C10" s="17">
        <v>35.651971000000003</v>
      </c>
      <c r="D10" s="17">
        <v>-96.893034</v>
      </c>
      <c r="E10" s="18">
        <f>H10/F10</f>
        <v>0.83333333333333337</v>
      </c>
      <c r="F10" s="17">
        <v>18</v>
      </c>
      <c r="G10" s="17">
        <f>F10*0.75</f>
        <v>13.5</v>
      </c>
      <c r="H10" s="17">
        <v>15</v>
      </c>
      <c r="I10" s="19" t="s">
        <v>66</v>
      </c>
      <c r="J10" s="19" t="s">
        <v>66</v>
      </c>
      <c r="K10" s="19" t="s">
        <v>67</v>
      </c>
      <c r="L10" s="17">
        <v>0</v>
      </c>
      <c r="M10" s="18">
        <f>L10/H10</f>
        <v>0</v>
      </c>
      <c r="N10" s="20">
        <f t="shared" ref="N10:N21" si="0">M10</f>
        <v>0</v>
      </c>
      <c r="O10" s="21">
        <f t="shared" ref="O10:O21" si="1">M10</f>
        <v>0</v>
      </c>
    </row>
    <row r="11" spans="1:15" x14ac:dyDescent="0.25">
      <c r="A11" s="16" t="s">
        <v>65</v>
      </c>
      <c r="B11" s="22" t="s">
        <v>32</v>
      </c>
      <c r="C11" s="22">
        <v>35.666381999999999</v>
      </c>
      <c r="D11" s="22">
        <v>-96.679903999999993</v>
      </c>
      <c r="E11" s="23">
        <f t="shared" ref="E11:E21" si="2">H11/F11</f>
        <v>1.25</v>
      </c>
      <c r="F11" s="22">
        <v>24</v>
      </c>
      <c r="G11" s="22">
        <f t="shared" ref="G11:G21" si="3">F11*0.75</f>
        <v>18</v>
      </c>
      <c r="H11" s="22">
        <v>30</v>
      </c>
      <c r="I11" s="19" t="s">
        <v>66</v>
      </c>
      <c r="J11" s="19" t="s">
        <v>66</v>
      </c>
      <c r="K11" s="19" t="s">
        <v>67</v>
      </c>
      <c r="L11" s="22">
        <v>0</v>
      </c>
      <c r="M11" s="23">
        <f t="shared" ref="M11:M21" si="4">L11/H11</f>
        <v>0</v>
      </c>
      <c r="N11" s="24">
        <f t="shared" si="0"/>
        <v>0</v>
      </c>
      <c r="O11" s="25">
        <f t="shared" si="1"/>
        <v>0</v>
      </c>
    </row>
    <row r="12" spans="1:15" x14ac:dyDescent="0.25">
      <c r="A12" s="16" t="s">
        <v>65</v>
      </c>
      <c r="B12" s="26" t="s">
        <v>33</v>
      </c>
      <c r="C12" s="26">
        <v>35.642229999999998</v>
      </c>
      <c r="D12" s="26">
        <v>-96.822198</v>
      </c>
      <c r="E12" s="27">
        <f>H12/F12</f>
        <v>1.3333333333333333</v>
      </c>
      <c r="F12" s="26">
        <v>18</v>
      </c>
      <c r="G12" s="26">
        <f t="shared" si="3"/>
        <v>13.5</v>
      </c>
      <c r="H12" s="26">
        <v>24</v>
      </c>
      <c r="I12" s="19" t="s">
        <v>66</v>
      </c>
      <c r="J12" s="19" t="s">
        <v>66</v>
      </c>
      <c r="K12" s="19" t="s">
        <v>67</v>
      </c>
      <c r="L12" s="26">
        <v>0</v>
      </c>
      <c r="M12" s="27">
        <f t="shared" si="4"/>
        <v>0</v>
      </c>
      <c r="N12" s="28">
        <f t="shared" si="0"/>
        <v>0</v>
      </c>
      <c r="O12" s="29">
        <f t="shared" si="1"/>
        <v>0</v>
      </c>
    </row>
    <row r="13" spans="1:15" x14ac:dyDescent="0.25">
      <c r="A13" s="16" t="s">
        <v>65</v>
      </c>
      <c r="B13" s="22" t="s">
        <v>34</v>
      </c>
      <c r="C13" s="22">
        <v>35.640510999999996</v>
      </c>
      <c r="D13" s="22">
        <v>-96.910903000000005</v>
      </c>
      <c r="E13" s="23">
        <f t="shared" si="2"/>
        <v>1.3333333333333333</v>
      </c>
      <c r="F13" s="22">
        <v>18</v>
      </c>
      <c r="G13" s="22">
        <f t="shared" si="3"/>
        <v>13.5</v>
      </c>
      <c r="H13" s="22">
        <v>24</v>
      </c>
      <c r="I13" s="19" t="s">
        <v>66</v>
      </c>
      <c r="J13" s="19" t="s">
        <v>66</v>
      </c>
      <c r="K13" s="19" t="s">
        <v>67</v>
      </c>
      <c r="L13" s="22">
        <v>0</v>
      </c>
      <c r="M13" s="23">
        <f t="shared" si="4"/>
        <v>0</v>
      </c>
      <c r="N13" s="24">
        <f t="shared" si="0"/>
        <v>0</v>
      </c>
      <c r="O13" s="25">
        <f t="shared" si="1"/>
        <v>0</v>
      </c>
    </row>
    <row r="14" spans="1:15" x14ac:dyDescent="0.25">
      <c r="A14" s="16" t="s">
        <v>65</v>
      </c>
      <c r="B14" s="26" t="s">
        <v>35</v>
      </c>
      <c r="C14" s="26">
        <v>35.683965000000001</v>
      </c>
      <c r="D14" s="26">
        <v>-96.698024000000004</v>
      </c>
      <c r="E14" s="27">
        <f t="shared" si="2"/>
        <v>1</v>
      </c>
      <c r="F14" s="26">
        <v>18</v>
      </c>
      <c r="G14" s="26">
        <f t="shared" si="3"/>
        <v>13.5</v>
      </c>
      <c r="H14" s="26">
        <v>18</v>
      </c>
      <c r="I14" s="19" t="s">
        <v>66</v>
      </c>
      <c r="J14" s="19" t="s">
        <v>66</v>
      </c>
      <c r="K14" s="19" t="s">
        <v>67</v>
      </c>
      <c r="L14" s="26">
        <v>0</v>
      </c>
      <c r="M14" s="27">
        <f t="shared" si="4"/>
        <v>0</v>
      </c>
      <c r="N14" s="28">
        <f t="shared" si="0"/>
        <v>0</v>
      </c>
      <c r="O14" s="29">
        <f t="shared" si="1"/>
        <v>0</v>
      </c>
    </row>
    <row r="15" spans="1:15" x14ac:dyDescent="0.25">
      <c r="A15" s="16" t="s">
        <v>65</v>
      </c>
      <c r="B15" s="22" t="s">
        <v>36</v>
      </c>
      <c r="C15" s="22">
        <v>35.621029</v>
      </c>
      <c r="D15" s="22">
        <v>-96.822177999999994</v>
      </c>
      <c r="E15" s="23">
        <f>H15/F15</f>
        <v>0.94444444444444442</v>
      </c>
      <c r="F15" s="22">
        <v>18</v>
      </c>
      <c r="G15" s="22">
        <f t="shared" si="3"/>
        <v>13.5</v>
      </c>
      <c r="H15" s="22">
        <v>17</v>
      </c>
      <c r="I15" s="19" t="s">
        <v>66</v>
      </c>
      <c r="J15" s="19" t="s">
        <v>66</v>
      </c>
      <c r="K15" s="19" t="s">
        <v>67</v>
      </c>
      <c r="L15" s="22">
        <v>0</v>
      </c>
      <c r="M15" s="23">
        <f t="shared" si="4"/>
        <v>0</v>
      </c>
      <c r="N15" s="24">
        <f t="shared" si="0"/>
        <v>0</v>
      </c>
      <c r="O15" s="25">
        <f t="shared" si="1"/>
        <v>0</v>
      </c>
    </row>
    <row r="16" spans="1:15" x14ac:dyDescent="0.25">
      <c r="A16" s="16" t="s">
        <v>65</v>
      </c>
      <c r="B16" s="26" t="s">
        <v>37</v>
      </c>
      <c r="C16" s="26">
        <v>35.608344000000002</v>
      </c>
      <c r="D16" s="26">
        <v>-96.733529000000004</v>
      </c>
      <c r="E16" s="27">
        <f t="shared" si="2"/>
        <v>0.5</v>
      </c>
      <c r="F16" s="26">
        <v>18</v>
      </c>
      <c r="G16" s="26">
        <f t="shared" si="3"/>
        <v>13.5</v>
      </c>
      <c r="H16" s="26">
        <v>9</v>
      </c>
      <c r="I16" s="19" t="s">
        <v>66</v>
      </c>
      <c r="J16" s="19" t="s">
        <v>66</v>
      </c>
      <c r="K16" s="19" t="s">
        <v>67</v>
      </c>
      <c r="L16" s="26">
        <v>0</v>
      </c>
      <c r="M16" s="27">
        <f t="shared" si="4"/>
        <v>0</v>
      </c>
      <c r="N16" s="28">
        <f t="shared" si="0"/>
        <v>0</v>
      </c>
      <c r="O16" s="29">
        <f t="shared" si="1"/>
        <v>0</v>
      </c>
    </row>
    <row r="17" spans="1:15" x14ac:dyDescent="0.25">
      <c r="A17" s="16" t="s">
        <v>65</v>
      </c>
      <c r="B17" s="22" t="s">
        <v>38</v>
      </c>
      <c r="C17" s="22">
        <v>35.677712</v>
      </c>
      <c r="D17" s="22">
        <v>-96.658317999999994</v>
      </c>
      <c r="E17" s="23">
        <f t="shared" si="2"/>
        <v>4.4916666666666663</v>
      </c>
      <c r="F17" s="22">
        <v>120</v>
      </c>
      <c r="G17" s="22">
        <f t="shared" si="3"/>
        <v>90</v>
      </c>
      <c r="H17" s="22">
        <v>539</v>
      </c>
      <c r="I17" s="19" t="s">
        <v>66</v>
      </c>
      <c r="J17" s="19" t="s">
        <v>66</v>
      </c>
      <c r="K17" s="19" t="s">
        <v>67</v>
      </c>
      <c r="L17" s="22">
        <v>177</v>
      </c>
      <c r="M17" s="23">
        <f t="shared" si="4"/>
        <v>0.32838589981447125</v>
      </c>
      <c r="N17" s="24">
        <f t="shared" si="0"/>
        <v>0.32838589981447125</v>
      </c>
      <c r="O17" s="25">
        <f t="shared" si="1"/>
        <v>0.32838589981447125</v>
      </c>
    </row>
    <row r="18" spans="1:15" x14ac:dyDescent="0.25">
      <c r="A18" s="16" t="s">
        <v>65</v>
      </c>
      <c r="B18" s="26" t="s">
        <v>39</v>
      </c>
      <c r="C18" s="26">
        <v>35.677965</v>
      </c>
      <c r="D18" s="26">
        <v>-96.657858000000004</v>
      </c>
      <c r="E18" s="56">
        <f t="shared" si="2"/>
        <v>0</v>
      </c>
      <c r="F18" s="33">
        <v>24</v>
      </c>
      <c r="G18" s="33">
        <f t="shared" si="3"/>
        <v>18</v>
      </c>
      <c r="H18" s="33"/>
      <c r="I18" s="30" t="s">
        <v>66</v>
      </c>
      <c r="J18" s="30" t="s">
        <v>66</v>
      </c>
      <c r="K18" s="30" t="s">
        <v>67</v>
      </c>
      <c r="L18" s="33"/>
      <c r="M18" s="56" t="e">
        <f t="shared" si="4"/>
        <v>#DIV/0!</v>
      </c>
      <c r="N18" s="31" t="e">
        <f t="shared" si="0"/>
        <v>#DIV/0!</v>
      </c>
      <c r="O18" s="32" t="e">
        <f t="shared" si="1"/>
        <v>#DIV/0!</v>
      </c>
    </row>
    <row r="19" spans="1:15" x14ac:dyDescent="0.25">
      <c r="A19" s="16" t="s">
        <v>65</v>
      </c>
      <c r="B19" s="22" t="s">
        <v>41</v>
      </c>
      <c r="C19" s="22">
        <v>35.677534000000001</v>
      </c>
      <c r="D19" s="22">
        <v>-96.657402000000005</v>
      </c>
      <c r="E19" s="56">
        <f t="shared" si="2"/>
        <v>0</v>
      </c>
      <c r="F19" s="33">
        <v>24</v>
      </c>
      <c r="G19" s="33">
        <f t="shared" si="3"/>
        <v>18</v>
      </c>
      <c r="H19" s="33"/>
      <c r="I19" s="30" t="s">
        <v>66</v>
      </c>
      <c r="J19" s="30" t="s">
        <v>66</v>
      </c>
      <c r="K19" s="30" t="s">
        <v>67</v>
      </c>
      <c r="L19" s="33"/>
      <c r="M19" s="56" t="e">
        <f t="shared" si="4"/>
        <v>#DIV/0!</v>
      </c>
      <c r="N19" s="31" t="e">
        <f t="shared" si="0"/>
        <v>#DIV/0!</v>
      </c>
      <c r="O19" s="32" t="e">
        <f t="shared" si="1"/>
        <v>#DIV/0!</v>
      </c>
    </row>
    <row r="20" spans="1:15" x14ac:dyDescent="0.25">
      <c r="A20" s="16" t="s">
        <v>65</v>
      </c>
      <c r="B20" s="26" t="s">
        <v>42</v>
      </c>
      <c r="C20" s="26">
        <v>35.677171999999999</v>
      </c>
      <c r="D20" s="26">
        <v>-96.658192</v>
      </c>
      <c r="E20" s="56">
        <f t="shared" si="2"/>
        <v>0</v>
      </c>
      <c r="F20" s="33">
        <v>24</v>
      </c>
      <c r="G20" s="33">
        <f t="shared" si="3"/>
        <v>18</v>
      </c>
      <c r="H20" s="33"/>
      <c r="I20" s="30" t="s">
        <v>66</v>
      </c>
      <c r="J20" s="30" t="s">
        <v>66</v>
      </c>
      <c r="K20" s="30" t="s">
        <v>67</v>
      </c>
      <c r="L20" s="33"/>
      <c r="M20" s="56" t="e">
        <f t="shared" si="4"/>
        <v>#DIV/0!</v>
      </c>
      <c r="N20" s="31" t="e">
        <f t="shared" si="0"/>
        <v>#DIV/0!</v>
      </c>
      <c r="O20" s="32" t="e">
        <f t="shared" si="1"/>
        <v>#DIV/0!</v>
      </c>
    </row>
    <row r="21" spans="1:15" ht="15.75" thickBot="1" x14ac:dyDescent="0.3">
      <c r="A21" s="51" t="s">
        <v>65</v>
      </c>
      <c r="B21" s="34" t="s">
        <v>43</v>
      </c>
      <c r="C21" s="34">
        <v>35.677579999999999</v>
      </c>
      <c r="D21" s="34">
        <v>-96.657960000000003</v>
      </c>
      <c r="E21" s="58">
        <f t="shared" si="2"/>
        <v>0</v>
      </c>
      <c r="F21" s="35">
        <v>24</v>
      </c>
      <c r="G21" s="35">
        <f t="shared" si="3"/>
        <v>18</v>
      </c>
      <c r="H21" s="35"/>
      <c r="I21" s="30" t="s">
        <v>66</v>
      </c>
      <c r="J21" s="30" t="s">
        <v>66</v>
      </c>
      <c r="K21" s="30" t="s">
        <v>67</v>
      </c>
      <c r="L21" s="35"/>
      <c r="M21" s="58" t="e">
        <f t="shared" si="4"/>
        <v>#DIV/0!</v>
      </c>
      <c r="N21" s="36" t="e">
        <f t="shared" si="0"/>
        <v>#DIV/0!</v>
      </c>
      <c r="O21" s="37" t="e">
        <f t="shared" si="1"/>
        <v>#DIV/0!</v>
      </c>
    </row>
    <row r="22" spans="1:15" ht="16.5" thickTop="1" thickBot="1" x14ac:dyDescent="0.3">
      <c r="A22" s="89" t="s">
        <v>11</v>
      </c>
      <c r="B22" s="89" t="s">
        <v>12</v>
      </c>
      <c r="C22" s="89" t="s">
        <v>13</v>
      </c>
      <c r="D22" s="89" t="s">
        <v>14</v>
      </c>
      <c r="E22" s="15" t="s">
        <v>15</v>
      </c>
      <c r="F22" s="92" t="s">
        <v>16</v>
      </c>
      <c r="G22" s="92" t="s">
        <v>17</v>
      </c>
      <c r="H22" s="92" t="s">
        <v>18</v>
      </c>
      <c r="I22" s="89" t="s">
        <v>68</v>
      </c>
      <c r="J22" s="89"/>
      <c r="K22" s="89"/>
      <c r="L22" s="92" t="s">
        <v>20</v>
      </c>
      <c r="M22" s="99" t="s">
        <v>21</v>
      </c>
      <c r="N22" s="97" t="s">
        <v>50</v>
      </c>
      <c r="O22" s="98"/>
    </row>
    <row r="23" spans="1:15" ht="15.75" thickTop="1" x14ac:dyDescent="0.25">
      <c r="A23" s="90"/>
      <c r="B23" s="90"/>
      <c r="C23" s="90"/>
      <c r="D23" s="90"/>
      <c r="E23" s="95" t="s">
        <v>23</v>
      </c>
      <c r="F23" s="93"/>
      <c r="G23" s="93"/>
      <c r="H23" s="93"/>
      <c r="I23" s="75" t="s">
        <v>57</v>
      </c>
      <c r="J23" s="75" t="s">
        <v>58</v>
      </c>
      <c r="K23" s="75" t="s">
        <v>59</v>
      </c>
      <c r="L23" s="93"/>
      <c r="M23" s="100"/>
      <c r="N23" s="8" t="s">
        <v>26</v>
      </c>
      <c r="O23" s="10" t="s">
        <v>27</v>
      </c>
    </row>
    <row r="24" spans="1:15" ht="15.75" thickBot="1" x14ac:dyDescent="0.3">
      <c r="A24" s="91"/>
      <c r="B24" s="91"/>
      <c r="C24" s="91"/>
      <c r="D24" s="91"/>
      <c r="E24" s="96"/>
      <c r="F24" s="94"/>
      <c r="G24" s="94"/>
      <c r="H24" s="94"/>
      <c r="I24" s="76" t="s">
        <v>60</v>
      </c>
      <c r="J24" s="76" t="s">
        <v>61</v>
      </c>
      <c r="K24" s="76" t="s">
        <v>62</v>
      </c>
      <c r="L24" s="94"/>
      <c r="M24" s="101"/>
      <c r="N24" s="9" t="s">
        <v>63</v>
      </c>
      <c r="O24" s="11" t="s">
        <v>64</v>
      </c>
    </row>
    <row r="25" spans="1:15" ht="15.75" thickTop="1" x14ac:dyDescent="0.25">
      <c r="A25" s="41" t="s">
        <v>69</v>
      </c>
      <c r="B25" s="17" t="s">
        <v>31</v>
      </c>
      <c r="C25" s="17">
        <v>35.651971000000003</v>
      </c>
      <c r="D25" s="17">
        <v>-96.893034</v>
      </c>
      <c r="E25" s="18">
        <f>H25/F25</f>
        <v>0.83333333333333337</v>
      </c>
      <c r="F25" s="17">
        <v>18</v>
      </c>
      <c r="G25" s="17">
        <f>F25*0.75</f>
        <v>13.5</v>
      </c>
      <c r="H25" s="17">
        <v>15</v>
      </c>
      <c r="I25" s="39" t="s">
        <v>70</v>
      </c>
      <c r="J25" s="39" t="s">
        <v>71</v>
      </c>
      <c r="K25" s="39" t="s">
        <v>72</v>
      </c>
      <c r="L25" s="17">
        <v>0</v>
      </c>
      <c r="M25" s="18">
        <f>L25/H25</f>
        <v>0</v>
      </c>
      <c r="N25" s="20">
        <f t="shared" ref="N25:N66" si="5">M25</f>
        <v>0</v>
      </c>
      <c r="O25" s="21">
        <f t="shared" ref="O25:O66" si="6">M25</f>
        <v>0</v>
      </c>
    </row>
    <row r="26" spans="1:15" x14ac:dyDescent="0.25">
      <c r="A26" s="16" t="s">
        <v>69</v>
      </c>
      <c r="B26" s="22" t="s">
        <v>32</v>
      </c>
      <c r="C26" s="22">
        <v>35.666381999999999</v>
      </c>
      <c r="D26" s="22">
        <v>-96.679903999999993</v>
      </c>
      <c r="E26" s="23">
        <f t="shared" ref="E26:E36" si="7">H26/F26</f>
        <v>1.25</v>
      </c>
      <c r="F26" s="22">
        <v>24</v>
      </c>
      <c r="G26" s="22">
        <f t="shared" ref="G26:G36" si="8">F26*0.75</f>
        <v>18</v>
      </c>
      <c r="H26" s="22">
        <v>30</v>
      </c>
      <c r="I26" s="39" t="s">
        <v>70</v>
      </c>
      <c r="J26" s="39" t="s">
        <v>71</v>
      </c>
      <c r="K26" s="39" t="s">
        <v>72</v>
      </c>
      <c r="L26" s="22">
        <v>3</v>
      </c>
      <c r="M26" s="23">
        <f t="shared" ref="M26:M36" si="9">L26/H26</f>
        <v>0.1</v>
      </c>
      <c r="N26" s="24">
        <f t="shared" si="5"/>
        <v>0.1</v>
      </c>
      <c r="O26" s="25">
        <f t="shared" si="6"/>
        <v>0.1</v>
      </c>
    </row>
    <row r="27" spans="1:15" x14ac:dyDescent="0.25">
      <c r="A27" s="16" t="s">
        <v>69</v>
      </c>
      <c r="B27" s="26" t="s">
        <v>33</v>
      </c>
      <c r="C27" s="26">
        <v>35.642229999999998</v>
      </c>
      <c r="D27" s="26">
        <v>-96.822198</v>
      </c>
      <c r="E27" s="27">
        <f t="shared" si="7"/>
        <v>1.3333333333333333</v>
      </c>
      <c r="F27" s="26">
        <v>18</v>
      </c>
      <c r="G27" s="26">
        <f t="shared" si="8"/>
        <v>13.5</v>
      </c>
      <c r="H27" s="26">
        <v>24</v>
      </c>
      <c r="I27" s="39" t="s">
        <v>70</v>
      </c>
      <c r="J27" s="39" t="s">
        <v>71</v>
      </c>
      <c r="K27" s="39" t="s">
        <v>72</v>
      </c>
      <c r="L27" s="26">
        <v>5</v>
      </c>
      <c r="M27" s="27">
        <f t="shared" si="9"/>
        <v>0.20833333333333334</v>
      </c>
      <c r="N27" s="28">
        <f t="shared" si="5"/>
        <v>0.20833333333333334</v>
      </c>
      <c r="O27" s="29">
        <f t="shared" si="6"/>
        <v>0.20833333333333334</v>
      </c>
    </row>
    <row r="28" spans="1:15" x14ac:dyDescent="0.25">
      <c r="A28" s="16" t="s">
        <v>69</v>
      </c>
      <c r="B28" s="22" t="s">
        <v>34</v>
      </c>
      <c r="C28" s="22">
        <v>35.640510999999996</v>
      </c>
      <c r="D28" s="22">
        <v>-96.910903000000005</v>
      </c>
      <c r="E28" s="23">
        <f t="shared" si="7"/>
        <v>1.3333333333333333</v>
      </c>
      <c r="F28" s="22">
        <v>18</v>
      </c>
      <c r="G28" s="22">
        <f t="shared" si="8"/>
        <v>13.5</v>
      </c>
      <c r="H28" s="22">
        <v>24</v>
      </c>
      <c r="I28" s="39" t="s">
        <v>70</v>
      </c>
      <c r="J28" s="39" t="s">
        <v>71</v>
      </c>
      <c r="K28" s="39" t="s">
        <v>72</v>
      </c>
      <c r="L28" s="22">
        <v>5</v>
      </c>
      <c r="M28" s="23">
        <f t="shared" si="9"/>
        <v>0.20833333333333334</v>
      </c>
      <c r="N28" s="24">
        <f t="shared" si="5"/>
        <v>0.20833333333333334</v>
      </c>
      <c r="O28" s="25">
        <f t="shared" si="6"/>
        <v>0.20833333333333334</v>
      </c>
    </row>
    <row r="29" spans="1:15" x14ac:dyDescent="0.25">
      <c r="A29" s="16" t="s">
        <v>69</v>
      </c>
      <c r="B29" s="26" t="s">
        <v>35</v>
      </c>
      <c r="C29" s="26">
        <v>35.683965000000001</v>
      </c>
      <c r="D29" s="26">
        <v>-96.698024000000004</v>
      </c>
      <c r="E29" s="27">
        <f t="shared" si="7"/>
        <v>1</v>
      </c>
      <c r="F29" s="26">
        <v>18</v>
      </c>
      <c r="G29" s="26">
        <f t="shared" si="8"/>
        <v>13.5</v>
      </c>
      <c r="H29" s="26">
        <v>18</v>
      </c>
      <c r="I29" s="39" t="s">
        <v>70</v>
      </c>
      <c r="J29" s="39" t="s">
        <v>71</v>
      </c>
      <c r="K29" s="39" t="s">
        <v>72</v>
      </c>
      <c r="L29" s="26">
        <v>1</v>
      </c>
      <c r="M29" s="27">
        <f t="shared" si="9"/>
        <v>5.5555555555555552E-2</v>
      </c>
      <c r="N29" s="28">
        <f t="shared" si="5"/>
        <v>5.5555555555555552E-2</v>
      </c>
      <c r="O29" s="29">
        <f t="shared" si="6"/>
        <v>5.5555555555555552E-2</v>
      </c>
    </row>
    <row r="30" spans="1:15" x14ac:dyDescent="0.25">
      <c r="A30" s="16" t="s">
        <v>69</v>
      </c>
      <c r="B30" s="22" t="s">
        <v>36</v>
      </c>
      <c r="C30" s="22">
        <v>35.621029</v>
      </c>
      <c r="D30" s="22">
        <v>-96.822177999999994</v>
      </c>
      <c r="E30" s="23">
        <f t="shared" si="7"/>
        <v>0.94444444444444442</v>
      </c>
      <c r="F30" s="22">
        <v>18</v>
      </c>
      <c r="G30" s="22">
        <f t="shared" si="8"/>
        <v>13.5</v>
      </c>
      <c r="H30" s="22">
        <v>17</v>
      </c>
      <c r="I30" s="39" t="s">
        <v>70</v>
      </c>
      <c r="J30" s="39" t="s">
        <v>71</v>
      </c>
      <c r="K30" s="39" t="s">
        <v>72</v>
      </c>
      <c r="L30" s="22">
        <v>2</v>
      </c>
      <c r="M30" s="23">
        <f t="shared" si="9"/>
        <v>0.11764705882352941</v>
      </c>
      <c r="N30" s="24">
        <f t="shared" si="5"/>
        <v>0.11764705882352941</v>
      </c>
      <c r="O30" s="25">
        <f t="shared" si="6"/>
        <v>0.11764705882352941</v>
      </c>
    </row>
    <row r="31" spans="1:15" x14ac:dyDescent="0.25">
      <c r="A31" s="16" t="s">
        <v>69</v>
      </c>
      <c r="B31" s="26" t="s">
        <v>37</v>
      </c>
      <c r="C31" s="26">
        <v>35.608344000000002</v>
      </c>
      <c r="D31" s="26">
        <v>-96.733529000000004</v>
      </c>
      <c r="E31" s="27">
        <f t="shared" si="7"/>
        <v>0.5</v>
      </c>
      <c r="F31" s="26">
        <v>18</v>
      </c>
      <c r="G31" s="26">
        <f t="shared" si="8"/>
        <v>13.5</v>
      </c>
      <c r="H31" s="26">
        <v>9</v>
      </c>
      <c r="I31" s="39" t="s">
        <v>70</v>
      </c>
      <c r="J31" s="39" t="s">
        <v>71</v>
      </c>
      <c r="K31" s="39" t="s">
        <v>72</v>
      </c>
      <c r="L31" s="26">
        <v>0</v>
      </c>
      <c r="M31" s="27">
        <f t="shared" si="9"/>
        <v>0</v>
      </c>
      <c r="N31" s="28">
        <f t="shared" si="5"/>
        <v>0</v>
      </c>
      <c r="O31" s="29">
        <f t="shared" si="6"/>
        <v>0</v>
      </c>
    </row>
    <row r="32" spans="1:15" x14ac:dyDescent="0.25">
      <c r="A32" s="16" t="s">
        <v>69</v>
      </c>
      <c r="B32" s="22" t="s">
        <v>38</v>
      </c>
      <c r="C32" s="22">
        <v>35.677712</v>
      </c>
      <c r="D32" s="22">
        <v>-96.658317999999994</v>
      </c>
      <c r="E32" s="23">
        <f t="shared" si="7"/>
        <v>4.4916666666666663</v>
      </c>
      <c r="F32" s="22">
        <v>120</v>
      </c>
      <c r="G32" s="22">
        <f t="shared" si="8"/>
        <v>90</v>
      </c>
      <c r="H32" s="22">
        <v>539</v>
      </c>
      <c r="I32" s="39" t="s">
        <v>70</v>
      </c>
      <c r="J32" s="39" t="s">
        <v>71</v>
      </c>
      <c r="K32" s="39" t="s">
        <v>72</v>
      </c>
      <c r="L32" s="22">
        <v>52</v>
      </c>
      <c r="M32" s="23">
        <f t="shared" si="9"/>
        <v>9.6474953617810763E-2</v>
      </c>
      <c r="N32" s="24">
        <f t="shared" si="5"/>
        <v>9.6474953617810763E-2</v>
      </c>
      <c r="O32" s="25">
        <f t="shared" si="6"/>
        <v>9.6474953617810763E-2</v>
      </c>
    </row>
    <row r="33" spans="1:15" x14ac:dyDescent="0.25">
      <c r="A33" s="16" t="s">
        <v>69</v>
      </c>
      <c r="B33" s="26" t="s">
        <v>39</v>
      </c>
      <c r="C33" s="26">
        <v>35.677965</v>
      </c>
      <c r="D33" s="26">
        <v>-96.657858000000004</v>
      </c>
      <c r="E33" s="56">
        <f t="shared" si="7"/>
        <v>0</v>
      </c>
      <c r="F33" s="33">
        <v>24</v>
      </c>
      <c r="G33" s="33">
        <f t="shared" si="8"/>
        <v>18</v>
      </c>
      <c r="H33" s="33"/>
      <c r="I33" s="40" t="s">
        <v>70</v>
      </c>
      <c r="J33" s="40" t="s">
        <v>71</v>
      </c>
      <c r="K33" s="40" t="s">
        <v>72</v>
      </c>
      <c r="L33" s="33"/>
      <c r="M33" s="56" t="e">
        <f t="shared" si="9"/>
        <v>#DIV/0!</v>
      </c>
      <c r="N33" s="31" t="e">
        <f t="shared" si="5"/>
        <v>#DIV/0!</v>
      </c>
      <c r="O33" s="32" t="e">
        <f t="shared" si="6"/>
        <v>#DIV/0!</v>
      </c>
    </row>
    <row r="34" spans="1:15" x14ac:dyDescent="0.25">
      <c r="A34" s="16" t="s">
        <v>69</v>
      </c>
      <c r="B34" s="22" t="s">
        <v>41</v>
      </c>
      <c r="C34" s="22">
        <v>35.677534000000001</v>
      </c>
      <c r="D34" s="22">
        <v>-96.657402000000005</v>
      </c>
      <c r="E34" s="56">
        <f t="shared" si="7"/>
        <v>0</v>
      </c>
      <c r="F34" s="33">
        <v>24</v>
      </c>
      <c r="G34" s="33">
        <f t="shared" si="8"/>
        <v>18</v>
      </c>
      <c r="H34" s="33"/>
      <c r="I34" s="40" t="s">
        <v>70</v>
      </c>
      <c r="J34" s="40" t="s">
        <v>71</v>
      </c>
      <c r="K34" s="40" t="s">
        <v>72</v>
      </c>
      <c r="L34" s="33"/>
      <c r="M34" s="56" t="e">
        <f t="shared" si="9"/>
        <v>#DIV/0!</v>
      </c>
      <c r="N34" s="31" t="e">
        <f t="shared" si="5"/>
        <v>#DIV/0!</v>
      </c>
      <c r="O34" s="32" t="e">
        <f t="shared" si="6"/>
        <v>#DIV/0!</v>
      </c>
    </row>
    <row r="35" spans="1:15" x14ac:dyDescent="0.25">
      <c r="A35" s="16" t="s">
        <v>69</v>
      </c>
      <c r="B35" s="26" t="s">
        <v>42</v>
      </c>
      <c r="C35" s="26">
        <v>35.677171999999999</v>
      </c>
      <c r="D35" s="26">
        <v>-96.658192</v>
      </c>
      <c r="E35" s="56">
        <f t="shared" si="7"/>
        <v>0</v>
      </c>
      <c r="F35" s="33">
        <v>24</v>
      </c>
      <c r="G35" s="33">
        <f t="shared" si="8"/>
        <v>18</v>
      </c>
      <c r="H35" s="33"/>
      <c r="I35" s="40" t="s">
        <v>70</v>
      </c>
      <c r="J35" s="40" t="s">
        <v>71</v>
      </c>
      <c r="K35" s="40" t="s">
        <v>72</v>
      </c>
      <c r="L35" s="33"/>
      <c r="M35" s="56" t="e">
        <f t="shared" si="9"/>
        <v>#DIV/0!</v>
      </c>
      <c r="N35" s="31" t="e">
        <f t="shared" si="5"/>
        <v>#DIV/0!</v>
      </c>
      <c r="O35" s="32" t="e">
        <f t="shared" si="6"/>
        <v>#DIV/0!</v>
      </c>
    </row>
    <row r="36" spans="1:15" ht="15.75" thickBot="1" x14ac:dyDescent="0.3">
      <c r="A36" s="42" t="s">
        <v>69</v>
      </c>
      <c r="B36" s="34" t="s">
        <v>43</v>
      </c>
      <c r="C36" s="34">
        <v>35.677579999999999</v>
      </c>
      <c r="D36" s="34">
        <v>-96.657960000000003</v>
      </c>
      <c r="E36" s="58">
        <f t="shared" si="7"/>
        <v>0</v>
      </c>
      <c r="F36" s="35">
        <v>24</v>
      </c>
      <c r="G36" s="35">
        <f t="shared" si="8"/>
        <v>18</v>
      </c>
      <c r="H36" s="35"/>
      <c r="I36" s="40" t="s">
        <v>70</v>
      </c>
      <c r="J36" s="40" t="s">
        <v>71</v>
      </c>
      <c r="K36" s="40" t="s">
        <v>72</v>
      </c>
      <c r="L36" s="35"/>
      <c r="M36" s="58" t="e">
        <f t="shared" si="9"/>
        <v>#DIV/0!</v>
      </c>
      <c r="N36" s="36" t="e">
        <f t="shared" si="5"/>
        <v>#DIV/0!</v>
      </c>
      <c r="O36" s="37" t="e">
        <f t="shared" si="6"/>
        <v>#DIV/0!</v>
      </c>
    </row>
    <row r="37" spans="1:15" ht="16.5" thickTop="1" thickBot="1" x14ac:dyDescent="0.3">
      <c r="A37" s="89" t="s">
        <v>11</v>
      </c>
      <c r="B37" s="89" t="s">
        <v>12</v>
      </c>
      <c r="C37" s="89" t="s">
        <v>13</v>
      </c>
      <c r="D37" s="89" t="s">
        <v>14</v>
      </c>
      <c r="E37" s="15" t="s">
        <v>15</v>
      </c>
      <c r="F37" s="92" t="s">
        <v>16</v>
      </c>
      <c r="G37" s="92" t="s">
        <v>17</v>
      </c>
      <c r="H37" s="92" t="s">
        <v>18</v>
      </c>
      <c r="I37" s="89" t="s">
        <v>68</v>
      </c>
      <c r="J37" s="89"/>
      <c r="K37" s="89"/>
      <c r="L37" s="92" t="s">
        <v>20</v>
      </c>
      <c r="M37" s="99" t="s">
        <v>21</v>
      </c>
      <c r="N37" s="97" t="s">
        <v>50</v>
      </c>
      <c r="O37" s="98"/>
    </row>
    <row r="38" spans="1:15" ht="15.75" thickTop="1" x14ac:dyDescent="0.25">
      <c r="A38" s="90"/>
      <c r="B38" s="90"/>
      <c r="C38" s="90"/>
      <c r="D38" s="90"/>
      <c r="E38" s="95" t="s">
        <v>23</v>
      </c>
      <c r="F38" s="93"/>
      <c r="G38" s="93"/>
      <c r="H38" s="93"/>
      <c r="I38" s="117" t="s">
        <v>73</v>
      </c>
      <c r="J38" s="75"/>
      <c r="K38" s="117" t="s">
        <v>74</v>
      </c>
      <c r="L38" s="93"/>
      <c r="M38" s="100"/>
      <c r="N38" s="8" t="s">
        <v>26</v>
      </c>
      <c r="O38" s="10" t="s">
        <v>27</v>
      </c>
    </row>
    <row r="39" spans="1:15" ht="15.75" thickBot="1" x14ac:dyDescent="0.3">
      <c r="A39" s="91"/>
      <c r="B39" s="91"/>
      <c r="C39" s="91"/>
      <c r="D39" s="91"/>
      <c r="E39" s="96"/>
      <c r="F39" s="94"/>
      <c r="G39" s="94"/>
      <c r="H39" s="94"/>
      <c r="I39" s="118"/>
      <c r="J39" s="76"/>
      <c r="K39" s="118"/>
      <c r="L39" s="94"/>
      <c r="M39" s="101"/>
      <c r="N39" s="9" t="s">
        <v>63</v>
      </c>
      <c r="O39" s="11" t="s">
        <v>64</v>
      </c>
    </row>
    <row r="40" spans="1:15" ht="15.75" thickTop="1" x14ac:dyDescent="0.25">
      <c r="A40" s="41" t="s">
        <v>75</v>
      </c>
      <c r="B40" s="17" t="s">
        <v>31</v>
      </c>
      <c r="C40" s="17">
        <v>35.651971000000003</v>
      </c>
      <c r="D40" s="17">
        <v>-96.893034</v>
      </c>
      <c r="E40" s="18">
        <f>H40/F40</f>
        <v>0.83333333333333337</v>
      </c>
      <c r="F40" s="17">
        <v>18</v>
      </c>
      <c r="G40" s="17">
        <f>F40*0.75</f>
        <v>13.5</v>
      </c>
      <c r="H40" s="17">
        <v>15</v>
      </c>
      <c r="I40" s="39" t="s">
        <v>76</v>
      </c>
      <c r="J40" s="39"/>
      <c r="K40" s="39" t="s">
        <v>77</v>
      </c>
      <c r="L40" s="17">
        <v>1</v>
      </c>
      <c r="M40" s="18">
        <f>L40/H40</f>
        <v>6.6666666666666666E-2</v>
      </c>
      <c r="N40" s="20">
        <f t="shared" si="5"/>
        <v>6.6666666666666666E-2</v>
      </c>
      <c r="O40" s="21">
        <f t="shared" si="6"/>
        <v>6.6666666666666666E-2</v>
      </c>
    </row>
    <row r="41" spans="1:15" x14ac:dyDescent="0.25">
      <c r="A41" s="16" t="s">
        <v>75</v>
      </c>
      <c r="B41" s="22" t="s">
        <v>32</v>
      </c>
      <c r="C41" s="22">
        <v>35.666381999999999</v>
      </c>
      <c r="D41" s="22">
        <v>-96.679903999999993</v>
      </c>
      <c r="E41" s="23">
        <f t="shared" ref="E41:E51" si="10">H41/F41</f>
        <v>1.25</v>
      </c>
      <c r="F41" s="22">
        <v>24</v>
      </c>
      <c r="G41" s="22">
        <f t="shared" ref="G41:G51" si="11">F41*0.75</f>
        <v>18</v>
      </c>
      <c r="H41" s="22">
        <v>30</v>
      </c>
      <c r="I41" s="39" t="s">
        <v>76</v>
      </c>
      <c r="J41" s="39"/>
      <c r="K41" s="39" t="s">
        <v>77</v>
      </c>
      <c r="L41" s="22">
        <v>5</v>
      </c>
      <c r="M41" s="23">
        <f t="shared" ref="M41:M51" si="12">L41/H41</f>
        <v>0.16666666666666666</v>
      </c>
      <c r="N41" s="24">
        <f t="shared" si="5"/>
        <v>0.16666666666666666</v>
      </c>
      <c r="O41" s="25">
        <f t="shared" si="6"/>
        <v>0.16666666666666666</v>
      </c>
    </row>
    <row r="42" spans="1:15" x14ac:dyDescent="0.25">
      <c r="A42" s="16" t="s">
        <v>75</v>
      </c>
      <c r="B42" s="26" t="s">
        <v>33</v>
      </c>
      <c r="C42" s="26">
        <v>35.642229999999998</v>
      </c>
      <c r="D42" s="26">
        <v>-96.822198</v>
      </c>
      <c r="E42" s="27">
        <f t="shared" si="10"/>
        <v>1.3333333333333333</v>
      </c>
      <c r="F42" s="26">
        <v>18</v>
      </c>
      <c r="G42" s="26">
        <f t="shared" si="11"/>
        <v>13.5</v>
      </c>
      <c r="H42" s="26">
        <v>24</v>
      </c>
      <c r="I42" s="39" t="s">
        <v>76</v>
      </c>
      <c r="J42" s="39"/>
      <c r="K42" s="39" t="s">
        <v>77</v>
      </c>
      <c r="L42" s="26">
        <v>3</v>
      </c>
      <c r="M42" s="27">
        <f t="shared" si="12"/>
        <v>0.125</v>
      </c>
      <c r="N42" s="28">
        <f t="shared" si="5"/>
        <v>0.125</v>
      </c>
      <c r="O42" s="29">
        <f t="shared" si="6"/>
        <v>0.125</v>
      </c>
    </row>
    <row r="43" spans="1:15" x14ac:dyDescent="0.25">
      <c r="A43" s="16" t="s">
        <v>75</v>
      </c>
      <c r="B43" s="22" t="s">
        <v>34</v>
      </c>
      <c r="C43" s="22">
        <v>35.640510999999996</v>
      </c>
      <c r="D43" s="22">
        <v>-96.910903000000005</v>
      </c>
      <c r="E43" s="23">
        <f t="shared" si="10"/>
        <v>1.3333333333333333</v>
      </c>
      <c r="F43" s="22">
        <v>18</v>
      </c>
      <c r="G43" s="22">
        <f t="shared" si="11"/>
        <v>13.5</v>
      </c>
      <c r="H43" s="22">
        <v>24</v>
      </c>
      <c r="I43" s="39" t="s">
        <v>76</v>
      </c>
      <c r="J43" s="39"/>
      <c r="K43" s="39" t="s">
        <v>77</v>
      </c>
      <c r="L43" s="22">
        <v>4</v>
      </c>
      <c r="M43" s="23">
        <f t="shared" si="12"/>
        <v>0.16666666666666666</v>
      </c>
      <c r="N43" s="24">
        <f t="shared" si="5"/>
        <v>0.16666666666666666</v>
      </c>
      <c r="O43" s="25">
        <f t="shared" si="6"/>
        <v>0.16666666666666666</v>
      </c>
    </row>
    <row r="44" spans="1:15" x14ac:dyDescent="0.25">
      <c r="A44" s="16" t="s">
        <v>75</v>
      </c>
      <c r="B44" s="26" t="s">
        <v>35</v>
      </c>
      <c r="C44" s="26">
        <v>35.683965000000001</v>
      </c>
      <c r="D44" s="26">
        <v>-96.698024000000004</v>
      </c>
      <c r="E44" s="27">
        <f t="shared" si="10"/>
        <v>1</v>
      </c>
      <c r="F44" s="26">
        <v>18</v>
      </c>
      <c r="G44" s="26">
        <f t="shared" si="11"/>
        <v>13.5</v>
      </c>
      <c r="H44" s="26">
        <v>18</v>
      </c>
      <c r="I44" s="39" t="s">
        <v>76</v>
      </c>
      <c r="J44" s="39"/>
      <c r="K44" s="39" t="s">
        <v>77</v>
      </c>
      <c r="L44" s="26">
        <v>1</v>
      </c>
      <c r="M44" s="27">
        <f t="shared" si="12"/>
        <v>5.5555555555555552E-2</v>
      </c>
      <c r="N44" s="28">
        <f t="shared" si="5"/>
        <v>5.5555555555555552E-2</v>
      </c>
      <c r="O44" s="29">
        <f t="shared" si="6"/>
        <v>5.5555555555555552E-2</v>
      </c>
    </row>
    <row r="45" spans="1:15" x14ac:dyDescent="0.25">
      <c r="A45" s="16" t="s">
        <v>75</v>
      </c>
      <c r="B45" s="22" t="s">
        <v>36</v>
      </c>
      <c r="C45" s="22">
        <v>35.621029</v>
      </c>
      <c r="D45" s="22">
        <v>-96.822177999999994</v>
      </c>
      <c r="E45" s="23">
        <f t="shared" si="10"/>
        <v>0.94444444444444442</v>
      </c>
      <c r="F45" s="22">
        <v>18</v>
      </c>
      <c r="G45" s="22">
        <f t="shared" si="11"/>
        <v>13.5</v>
      </c>
      <c r="H45" s="22">
        <v>17</v>
      </c>
      <c r="I45" s="39" t="s">
        <v>76</v>
      </c>
      <c r="J45" s="39"/>
      <c r="K45" s="39" t="s">
        <v>77</v>
      </c>
      <c r="L45" s="22">
        <v>2</v>
      </c>
      <c r="M45" s="23">
        <f t="shared" si="12"/>
        <v>0.11764705882352941</v>
      </c>
      <c r="N45" s="24">
        <f t="shared" si="5"/>
        <v>0.11764705882352941</v>
      </c>
      <c r="O45" s="25">
        <f t="shared" si="6"/>
        <v>0.11764705882352941</v>
      </c>
    </row>
    <row r="46" spans="1:15" x14ac:dyDescent="0.25">
      <c r="A46" s="16" t="s">
        <v>75</v>
      </c>
      <c r="B46" s="26" t="s">
        <v>37</v>
      </c>
      <c r="C46" s="26">
        <v>35.608344000000002</v>
      </c>
      <c r="D46" s="26">
        <v>-96.733529000000004</v>
      </c>
      <c r="E46" s="27">
        <f t="shared" si="10"/>
        <v>0.5</v>
      </c>
      <c r="F46" s="26">
        <v>18</v>
      </c>
      <c r="G46" s="26">
        <f t="shared" si="11"/>
        <v>13.5</v>
      </c>
      <c r="H46" s="26">
        <v>9</v>
      </c>
      <c r="I46" s="39" t="s">
        <v>76</v>
      </c>
      <c r="J46" s="39"/>
      <c r="K46" s="39" t="s">
        <v>77</v>
      </c>
      <c r="L46" s="26">
        <v>1</v>
      </c>
      <c r="M46" s="27">
        <f t="shared" si="12"/>
        <v>0.1111111111111111</v>
      </c>
      <c r="N46" s="28">
        <f t="shared" si="5"/>
        <v>0.1111111111111111</v>
      </c>
      <c r="O46" s="29">
        <f t="shared" si="6"/>
        <v>0.1111111111111111</v>
      </c>
    </row>
    <row r="47" spans="1:15" x14ac:dyDescent="0.25">
      <c r="A47" s="16" t="s">
        <v>75</v>
      </c>
      <c r="B47" s="22" t="s">
        <v>38</v>
      </c>
      <c r="C47" s="22">
        <v>35.677712</v>
      </c>
      <c r="D47" s="22">
        <v>-96.658317999999994</v>
      </c>
      <c r="E47" s="23">
        <f t="shared" si="10"/>
        <v>4.4916666666666663</v>
      </c>
      <c r="F47" s="22">
        <f>24*5</f>
        <v>120</v>
      </c>
      <c r="G47" s="22">
        <f t="shared" si="11"/>
        <v>90</v>
      </c>
      <c r="H47" s="22">
        <v>539</v>
      </c>
      <c r="I47" s="39" t="s">
        <v>76</v>
      </c>
      <c r="J47" s="39"/>
      <c r="K47" s="39" t="s">
        <v>77</v>
      </c>
      <c r="L47" s="22">
        <v>13</v>
      </c>
      <c r="M47" s="23">
        <f t="shared" si="12"/>
        <v>2.4118738404452691E-2</v>
      </c>
      <c r="N47" s="24">
        <f t="shared" si="5"/>
        <v>2.4118738404452691E-2</v>
      </c>
      <c r="O47" s="25">
        <f t="shared" si="6"/>
        <v>2.4118738404452691E-2</v>
      </c>
    </row>
    <row r="48" spans="1:15" x14ac:dyDescent="0.25">
      <c r="A48" s="16" t="s">
        <v>75</v>
      </c>
      <c r="B48" s="26" t="s">
        <v>39</v>
      </c>
      <c r="C48" s="26">
        <v>35.677965</v>
      </c>
      <c r="D48" s="26">
        <v>-96.657858000000004</v>
      </c>
      <c r="E48" s="56">
        <f t="shared" si="10"/>
        <v>0</v>
      </c>
      <c r="F48" s="33">
        <v>24</v>
      </c>
      <c r="G48" s="33">
        <f t="shared" si="11"/>
        <v>18</v>
      </c>
      <c r="H48" s="33"/>
      <c r="I48" s="40" t="s">
        <v>76</v>
      </c>
      <c r="J48" s="40"/>
      <c r="K48" s="40" t="s">
        <v>77</v>
      </c>
      <c r="L48" s="33"/>
      <c r="M48" s="56" t="e">
        <f t="shared" si="12"/>
        <v>#DIV/0!</v>
      </c>
      <c r="N48" s="31" t="e">
        <f t="shared" si="5"/>
        <v>#DIV/0!</v>
      </c>
      <c r="O48" s="32" t="e">
        <f t="shared" si="6"/>
        <v>#DIV/0!</v>
      </c>
    </row>
    <row r="49" spans="1:15" x14ac:dyDescent="0.25">
      <c r="A49" s="16" t="s">
        <v>75</v>
      </c>
      <c r="B49" s="22" t="s">
        <v>41</v>
      </c>
      <c r="C49" s="22">
        <v>35.677534000000001</v>
      </c>
      <c r="D49" s="22">
        <v>-96.657402000000005</v>
      </c>
      <c r="E49" s="56">
        <f t="shared" si="10"/>
        <v>0</v>
      </c>
      <c r="F49" s="33">
        <v>24</v>
      </c>
      <c r="G49" s="33">
        <f t="shared" si="11"/>
        <v>18</v>
      </c>
      <c r="H49" s="33"/>
      <c r="I49" s="40" t="s">
        <v>76</v>
      </c>
      <c r="J49" s="40"/>
      <c r="K49" s="40" t="s">
        <v>77</v>
      </c>
      <c r="L49" s="33"/>
      <c r="M49" s="56" t="e">
        <f t="shared" si="12"/>
        <v>#DIV/0!</v>
      </c>
      <c r="N49" s="31" t="e">
        <f t="shared" si="5"/>
        <v>#DIV/0!</v>
      </c>
      <c r="O49" s="32" t="e">
        <f t="shared" si="6"/>
        <v>#DIV/0!</v>
      </c>
    </row>
    <row r="50" spans="1:15" x14ac:dyDescent="0.25">
      <c r="A50" s="16" t="s">
        <v>75</v>
      </c>
      <c r="B50" s="26" t="s">
        <v>42</v>
      </c>
      <c r="C50" s="26">
        <v>35.677171999999999</v>
      </c>
      <c r="D50" s="26">
        <v>-96.658192</v>
      </c>
      <c r="E50" s="56">
        <f t="shared" si="10"/>
        <v>0</v>
      </c>
      <c r="F50" s="33">
        <v>24</v>
      </c>
      <c r="G50" s="33">
        <f t="shared" si="11"/>
        <v>18</v>
      </c>
      <c r="H50" s="33"/>
      <c r="I50" s="40" t="s">
        <v>76</v>
      </c>
      <c r="J50" s="40"/>
      <c r="K50" s="40" t="s">
        <v>77</v>
      </c>
      <c r="L50" s="33"/>
      <c r="M50" s="56" t="e">
        <f t="shared" si="12"/>
        <v>#DIV/0!</v>
      </c>
      <c r="N50" s="31" t="e">
        <f t="shared" si="5"/>
        <v>#DIV/0!</v>
      </c>
      <c r="O50" s="32" t="e">
        <f t="shared" si="6"/>
        <v>#DIV/0!</v>
      </c>
    </row>
    <row r="51" spans="1:15" ht="15.75" thickBot="1" x14ac:dyDescent="0.3">
      <c r="A51" s="42" t="s">
        <v>75</v>
      </c>
      <c r="B51" s="34" t="s">
        <v>43</v>
      </c>
      <c r="C51" s="34">
        <v>35.677579999999999</v>
      </c>
      <c r="D51" s="34">
        <v>-96.657960000000003</v>
      </c>
      <c r="E51" s="58">
        <f t="shared" si="10"/>
        <v>0</v>
      </c>
      <c r="F51" s="35">
        <v>24</v>
      </c>
      <c r="G51" s="35">
        <f t="shared" si="11"/>
        <v>18</v>
      </c>
      <c r="H51" s="35"/>
      <c r="I51" s="40" t="s">
        <v>76</v>
      </c>
      <c r="J51" s="40"/>
      <c r="K51" s="40" t="s">
        <v>77</v>
      </c>
      <c r="L51" s="35"/>
      <c r="M51" s="58" t="e">
        <f t="shared" si="12"/>
        <v>#DIV/0!</v>
      </c>
      <c r="N51" s="36" t="e">
        <f t="shared" si="5"/>
        <v>#DIV/0!</v>
      </c>
      <c r="O51" s="37" t="e">
        <f t="shared" si="6"/>
        <v>#DIV/0!</v>
      </c>
    </row>
    <row r="52" spans="1:15" ht="16.5" thickTop="1" thickBot="1" x14ac:dyDescent="0.3">
      <c r="A52" s="89" t="s">
        <v>11</v>
      </c>
      <c r="B52" s="89" t="s">
        <v>12</v>
      </c>
      <c r="C52" s="89" t="s">
        <v>13</v>
      </c>
      <c r="D52" s="89" t="s">
        <v>14</v>
      </c>
      <c r="E52" s="15" t="s">
        <v>15</v>
      </c>
      <c r="F52" s="92" t="s">
        <v>16</v>
      </c>
      <c r="G52" s="92" t="s">
        <v>17</v>
      </c>
      <c r="H52" s="92" t="s">
        <v>18</v>
      </c>
      <c r="I52" s="89" t="s">
        <v>78</v>
      </c>
      <c r="J52" s="89"/>
      <c r="K52" s="89"/>
      <c r="L52" s="92" t="s">
        <v>20</v>
      </c>
      <c r="M52" s="99" t="s">
        <v>21</v>
      </c>
      <c r="N52" s="97" t="s">
        <v>50</v>
      </c>
      <c r="O52" s="98"/>
    </row>
    <row r="53" spans="1:15" ht="15.75" thickTop="1" x14ac:dyDescent="0.25">
      <c r="A53" s="90"/>
      <c r="B53" s="90"/>
      <c r="C53" s="90"/>
      <c r="D53" s="90"/>
      <c r="E53" s="95" t="s">
        <v>23</v>
      </c>
      <c r="F53" s="93"/>
      <c r="G53" s="93"/>
      <c r="H53" s="93"/>
      <c r="I53" s="111" t="s">
        <v>79</v>
      </c>
      <c r="J53" s="112"/>
      <c r="K53" s="113"/>
      <c r="L53" s="93"/>
      <c r="M53" s="100"/>
      <c r="N53" s="8" t="s">
        <v>26</v>
      </c>
      <c r="O53" s="10" t="s">
        <v>27</v>
      </c>
    </row>
    <row r="54" spans="1:15" ht="15.75" thickBot="1" x14ac:dyDescent="0.3">
      <c r="A54" s="91"/>
      <c r="B54" s="91"/>
      <c r="C54" s="91"/>
      <c r="D54" s="91"/>
      <c r="E54" s="96"/>
      <c r="F54" s="94"/>
      <c r="G54" s="94"/>
      <c r="H54" s="94"/>
      <c r="I54" s="114"/>
      <c r="J54" s="115"/>
      <c r="K54" s="116"/>
      <c r="L54" s="94"/>
      <c r="M54" s="101"/>
      <c r="N54" s="9" t="s">
        <v>63</v>
      </c>
      <c r="O54" s="11" t="s">
        <v>64</v>
      </c>
    </row>
    <row r="55" spans="1:15" ht="15.75" thickTop="1" x14ac:dyDescent="0.25">
      <c r="A55" s="41" t="s">
        <v>80</v>
      </c>
      <c r="B55" s="17" t="s">
        <v>31</v>
      </c>
      <c r="C55" s="17">
        <v>35.651971000000003</v>
      </c>
      <c r="D55" s="17">
        <v>-96.893034</v>
      </c>
      <c r="E55" s="18">
        <f>H55/F55</f>
        <v>0.83333333333333337</v>
      </c>
      <c r="F55" s="17">
        <v>18</v>
      </c>
      <c r="G55" s="17">
        <f>F55*0.75</f>
        <v>13.5</v>
      </c>
      <c r="H55" s="17">
        <v>15</v>
      </c>
      <c r="I55" s="108" t="s">
        <v>81</v>
      </c>
      <c r="J55" s="109"/>
      <c r="K55" s="110"/>
      <c r="L55" s="17">
        <v>1</v>
      </c>
      <c r="M55" s="18">
        <f>L55/H55</f>
        <v>6.6666666666666666E-2</v>
      </c>
      <c r="N55" s="20">
        <f t="shared" si="5"/>
        <v>6.6666666666666666E-2</v>
      </c>
      <c r="O55" s="21">
        <f t="shared" si="6"/>
        <v>6.6666666666666666E-2</v>
      </c>
    </row>
    <row r="56" spans="1:15" x14ac:dyDescent="0.25">
      <c r="A56" s="16" t="s">
        <v>80</v>
      </c>
      <c r="B56" s="22" t="s">
        <v>32</v>
      </c>
      <c r="C56" s="22">
        <v>35.666381999999999</v>
      </c>
      <c r="D56" s="22">
        <v>-96.679903999999993</v>
      </c>
      <c r="E56" s="23">
        <f t="shared" ref="E56:E66" si="13">H56/F56</f>
        <v>1.1666666666666667</v>
      </c>
      <c r="F56" s="22">
        <v>24</v>
      </c>
      <c r="G56" s="22">
        <f t="shared" ref="G56:G66" si="14">F56*0.75</f>
        <v>18</v>
      </c>
      <c r="H56" s="22">
        <v>28</v>
      </c>
      <c r="I56" s="102" t="s">
        <v>81</v>
      </c>
      <c r="J56" s="103"/>
      <c r="K56" s="104"/>
      <c r="L56" s="22">
        <v>4</v>
      </c>
      <c r="M56" s="23">
        <f t="shared" ref="M56:M66" si="15">L56/H56</f>
        <v>0.14285714285714285</v>
      </c>
      <c r="N56" s="24">
        <f t="shared" si="5"/>
        <v>0.14285714285714285</v>
      </c>
      <c r="O56" s="25">
        <f t="shared" si="6"/>
        <v>0.14285714285714285</v>
      </c>
    </row>
    <row r="57" spans="1:15" x14ac:dyDescent="0.25">
      <c r="A57" s="16" t="s">
        <v>80</v>
      </c>
      <c r="B57" s="26" t="s">
        <v>33</v>
      </c>
      <c r="C57" s="26">
        <v>35.642229999999998</v>
      </c>
      <c r="D57" s="26">
        <v>-96.822198</v>
      </c>
      <c r="E57" s="27">
        <f t="shared" si="13"/>
        <v>1.1111111111111112</v>
      </c>
      <c r="F57" s="26">
        <v>18</v>
      </c>
      <c r="G57" s="26">
        <f t="shared" si="14"/>
        <v>13.5</v>
      </c>
      <c r="H57" s="26">
        <v>20</v>
      </c>
      <c r="I57" s="102" t="s">
        <v>81</v>
      </c>
      <c r="J57" s="103"/>
      <c r="K57" s="104"/>
      <c r="L57" s="26">
        <v>3</v>
      </c>
      <c r="M57" s="27">
        <f t="shared" si="15"/>
        <v>0.15</v>
      </c>
      <c r="N57" s="28">
        <f t="shared" si="5"/>
        <v>0.15</v>
      </c>
      <c r="O57" s="29">
        <f t="shared" si="6"/>
        <v>0.15</v>
      </c>
    </row>
    <row r="58" spans="1:15" x14ac:dyDescent="0.25">
      <c r="A58" s="16" t="s">
        <v>80</v>
      </c>
      <c r="B58" s="22" t="s">
        <v>34</v>
      </c>
      <c r="C58" s="22">
        <v>35.640510999999996</v>
      </c>
      <c r="D58" s="22">
        <v>-96.910903000000005</v>
      </c>
      <c r="E58" s="23">
        <f t="shared" si="13"/>
        <v>1.2777777777777777</v>
      </c>
      <c r="F58" s="22">
        <v>18</v>
      </c>
      <c r="G58" s="22">
        <f t="shared" si="14"/>
        <v>13.5</v>
      </c>
      <c r="H58" s="22">
        <v>23</v>
      </c>
      <c r="I58" s="102" t="s">
        <v>81</v>
      </c>
      <c r="J58" s="103"/>
      <c r="K58" s="104"/>
      <c r="L58" s="22">
        <v>4</v>
      </c>
      <c r="M58" s="23">
        <f t="shared" si="15"/>
        <v>0.17391304347826086</v>
      </c>
      <c r="N58" s="24">
        <f t="shared" si="5"/>
        <v>0.17391304347826086</v>
      </c>
      <c r="O58" s="25">
        <f t="shared" si="6"/>
        <v>0.17391304347826086</v>
      </c>
    </row>
    <row r="59" spans="1:15" x14ac:dyDescent="0.25">
      <c r="A59" s="16" t="s">
        <v>80</v>
      </c>
      <c r="B59" s="26" t="s">
        <v>35</v>
      </c>
      <c r="C59" s="26">
        <v>35.683965000000001</v>
      </c>
      <c r="D59" s="26">
        <v>-96.698024000000004</v>
      </c>
      <c r="E59" s="27">
        <f t="shared" si="13"/>
        <v>1</v>
      </c>
      <c r="F59" s="26">
        <v>18</v>
      </c>
      <c r="G59" s="26">
        <f t="shared" si="14"/>
        <v>13.5</v>
      </c>
      <c r="H59" s="26">
        <v>18</v>
      </c>
      <c r="I59" s="102" t="s">
        <v>81</v>
      </c>
      <c r="J59" s="103"/>
      <c r="K59" s="104"/>
      <c r="L59" s="26">
        <v>2</v>
      </c>
      <c r="M59" s="27">
        <f t="shared" si="15"/>
        <v>0.1111111111111111</v>
      </c>
      <c r="N59" s="28">
        <f t="shared" si="5"/>
        <v>0.1111111111111111</v>
      </c>
      <c r="O59" s="29">
        <f t="shared" si="6"/>
        <v>0.1111111111111111</v>
      </c>
    </row>
    <row r="60" spans="1:15" x14ac:dyDescent="0.25">
      <c r="A60" s="16" t="s">
        <v>80</v>
      </c>
      <c r="B60" s="22" t="s">
        <v>36</v>
      </c>
      <c r="C60" s="22">
        <v>35.621029</v>
      </c>
      <c r="D60" s="22">
        <v>-96.822177999999994</v>
      </c>
      <c r="E60" s="23">
        <f t="shared" si="13"/>
        <v>0.88888888888888884</v>
      </c>
      <c r="F60" s="22">
        <v>18</v>
      </c>
      <c r="G60" s="22">
        <f t="shared" si="14"/>
        <v>13.5</v>
      </c>
      <c r="H60" s="22">
        <v>16</v>
      </c>
      <c r="I60" s="102" t="s">
        <v>81</v>
      </c>
      <c r="J60" s="103"/>
      <c r="K60" s="104"/>
      <c r="L60" s="22">
        <v>3</v>
      </c>
      <c r="M60" s="23">
        <f t="shared" si="15"/>
        <v>0.1875</v>
      </c>
      <c r="N60" s="24">
        <f t="shared" si="5"/>
        <v>0.1875</v>
      </c>
      <c r="O60" s="25">
        <f t="shared" si="6"/>
        <v>0.1875</v>
      </c>
    </row>
    <row r="61" spans="1:15" x14ac:dyDescent="0.25">
      <c r="A61" s="16" t="s">
        <v>80</v>
      </c>
      <c r="B61" s="26" t="s">
        <v>37</v>
      </c>
      <c r="C61" s="26">
        <v>35.608344000000002</v>
      </c>
      <c r="D61" s="26">
        <v>-96.733529000000004</v>
      </c>
      <c r="E61" s="27">
        <f t="shared" si="13"/>
        <v>0.5</v>
      </c>
      <c r="F61" s="26">
        <v>18</v>
      </c>
      <c r="G61" s="26">
        <f t="shared" si="14"/>
        <v>13.5</v>
      </c>
      <c r="H61" s="26">
        <v>9</v>
      </c>
      <c r="I61" s="102" t="s">
        <v>81</v>
      </c>
      <c r="J61" s="103"/>
      <c r="K61" s="104"/>
      <c r="L61" s="26">
        <v>1</v>
      </c>
      <c r="M61" s="27">
        <f t="shared" si="15"/>
        <v>0.1111111111111111</v>
      </c>
      <c r="N61" s="28">
        <f t="shared" si="5"/>
        <v>0.1111111111111111</v>
      </c>
      <c r="O61" s="29">
        <f t="shared" si="6"/>
        <v>0.1111111111111111</v>
      </c>
    </row>
    <row r="62" spans="1:15" x14ac:dyDescent="0.25">
      <c r="A62" s="16" t="s">
        <v>80</v>
      </c>
      <c r="B62" s="22" t="s">
        <v>38</v>
      </c>
      <c r="C62" s="22">
        <v>35.677712</v>
      </c>
      <c r="D62" s="22">
        <v>-96.658317999999994</v>
      </c>
      <c r="E62" s="23">
        <f t="shared" si="13"/>
        <v>1.8333333333333333</v>
      </c>
      <c r="F62" s="22">
        <v>24</v>
      </c>
      <c r="G62" s="22">
        <f t="shared" si="14"/>
        <v>18</v>
      </c>
      <c r="H62" s="22">
        <v>44</v>
      </c>
      <c r="I62" s="102" t="s">
        <v>82</v>
      </c>
      <c r="J62" s="103"/>
      <c r="K62" s="104"/>
      <c r="L62" s="22">
        <v>0</v>
      </c>
      <c r="M62" s="23">
        <f t="shared" si="15"/>
        <v>0</v>
      </c>
      <c r="N62" s="24">
        <f t="shared" si="5"/>
        <v>0</v>
      </c>
      <c r="O62" s="25">
        <f t="shared" si="6"/>
        <v>0</v>
      </c>
    </row>
    <row r="63" spans="1:15" x14ac:dyDescent="0.25">
      <c r="A63" s="16" t="s">
        <v>80</v>
      </c>
      <c r="B63" s="26" t="s">
        <v>39</v>
      </c>
      <c r="C63" s="26">
        <v>35.677965</v>
      </c>
      <c r="D63" s="26">
        <v>-96.657858000000004</v>
      </c>
      <c r="E63" s="56">
        <f t="shared" si="13"/>
        <v>0</v>
      </c>
      <c r="F63" s="33">
        <v>24</v>
      </c>
      <c r="G63" s="33">
        <f t="shared" si="14"/>
        <v>18</v>
      </c>
      <c r="H63" s="33"/>
      <c r="I63" s="105" t="s">
        <v>82</v>
      </c>
      <c r="J63" s="106"/>
      <c r="K63" s="107"/>
      <c r="L63" s="33"/>
      <c r="M63" s="56" t="e">
        <f t="shared" si="15"/>
        <v>#DIV/0!</v>
      </c>
      <c r="N63" s="31" t="e">
        <f t="shared" si="5"/>
        <v>#DIV/0!</v>
      </c>
      <c r="O63" s="32" t="e">
        <f t="shared" si="6"/>
        <v>#DIV/0!</v>
      </c>
    </row>
    <row r="64" spans="1:15" x14ac:dyDescent="0.25">
      <c r="A64" s="16" t="s">
        <v>80</v>
      </c>
      <c r="B64" s="22" t="s">
        <v>41</v>
      </c>
      <c r="C64" s="22">
        <v>35.677534000000001</v>
      </c>
      <c r="D64" s="22">
        <v>-96.657402000000005</v>
      </c>
      <c r="E64" s="56">
        <f t="shared" si="13"/>
        <v>0</v>
      </c>
      <c r="F64" s="33">
        <v>24</v>
      </c>
      <c r="G64" s="33">
        <f t="shared" si="14"/>
        <v>18</v>
      </c>
      <c r="H64" s="33"/>
      <c r="I64" s="105" t="s">
        <v>82</v>
      </c>
      <c r="J64" s="106"/>
      <c r="K64" s="107"/>
      <c r="L64" s="33"/>
      <c r="M64" s="56" t="e">
        <f t="shared" si="15"/>
        <v>#DIV/0!</v>
      </c>
      <c r="N64" s="31" t="e">
        <f t="shared" si="5"/>
        <v>#DIV/0!</v>
      </c>
      <c r="O64" s="32" t="e">
        <f t="shared" si="6"/>
        <v>#DIV/0!</v>
      </c>
    </row>
    <row r="65" spans="1:15" x14ac:dyDescent="0.25">
      <c r="A65" s="16" t="s">
        <v>80</v>
      </c>
      <c r="B65" s="26" t="s">
        <v>42</v>
      </c>
      <c r="C65" s="26">
        <v>35.677171999999999</v>
      </c>
      <c r="D65" s="26">
        <v>-96.658192</v>
      </c>
      <c r="E65" s="56">
        <f t="shared" si="13"/>
        <v>0</v>
      </c>
      <c r="F65" s="33">
        <v>24</v>
      </c>
      <c r="G65" s="33">
        <f t="shared" si="14"/>
        <v>18</v>
      </c>
      <c r="H65" s="33"/>
      <c r="I65" s="105" t="s">
        <v>82</v>
      </c>
      <c r="J65" s="106"/>
      <c r="K65" s="107"/>
      <c r="L65" s="33"/>
      <c r="M65" s="56" t="e">
        <f t="shared" si="15"/>
        <v>#DIV/0!</v>
      </c>
      <c r="N65" s="31" t="e">
        <f t="shared" si="5"/>
        <v>#DIV/0!</v>
      </c>
      <c r="O65" s="32" t="e">
        <f t="shared" si="6"/>
        <v>#DIV/0!</v>
      </c>
    </row>
    <row r="66" spans="1:15" ht="15.75" thickBot="1" x14ac:dyDescent="0.3">
      <c r="A66" s="42" t="s">
        <v>80</v>
      </c>
      <c r="B66" s="34" t="s">
        <v>43</v>
      </c>
      <c r="C66" s="49">
        <v>35.677579999999999</v>
      </c>
      <c r="D66" s="49">
        <v>-96.657960000000003</v>
      </c>
      <c r="E66" s="59">
        <f t="shared" si="13"/>
        <v>0</v>
      </c>
      <c r="F66" s="50">
        <v>24</v>
      </c>
      <c r="G66" s="50">
        <f t="shared" si="14"/>
        <v>18</v>
      </c>
      <c r="H66" s="50"/>
      <c r="I66" s="133" t="s">
        <v>82</v>
      </c>
      <c r="J66" s="134"/>
      <c r="K66" s="135"/>
      <c r="L66" s="50"/>
      <c r="M66" s="59" t="e">
        <f t="shared" si="15"/>
        <v>#DIV/0!</v>
      </c>
      <c r="N66" s="60" t="e">
        <f t="shared" si="5"/>
        <v>#DIV/0!</v>
      </c>
      <c r="O66" s="61" t="e">
        <f t="shared" si="6"/>
        <v>#DIV/0!</v>
      </c>
    </row>
    <row r="67" spans="1:15" ht="15.75" thickTop="1" x14ac:dyDescent="0.25">
      <c r="A67" s="72" t="s">
        <v>44</v>
      </c>
      <c r="B67" s="62" t="s">
        <v>45</v>
      </c>
      <c r="C67" s="85" t="s">
        <v>46</v>
      </c>
      <c r="D67" s="85"/>
      <c r="E67" s="85"/>
      <c r="F67" s="85"/>
      <c r="G67" s="85"/>
      <c r="H67" s="85"/>
      <c r="I67" s="85"/>
      <c r="J67" s="85"/>
      <c r="K67" s="85"/>
      <c r="L67" s="85"/>
      <c r="M67" s="85"/>
    </row>
    <row r="68" spans="1:15" x14ac:dyDescent="0.25">
      <c r="A68" s="72" t="s">
        <v>47</v>
      </c>
      <c r="B68" s="63" t="s">
        <v>48</v>
      </c>
      <c r="C68" s="77" t="s">
        <v>49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</row>
  </sheetData>
  <sheetProtection selectLockedCells="1" selectUnlockedCells="1"/>
  <mergeCells count="72">
    <mergeCell ref="C67:M67"/>
    <mergeCell ref="C68:M68"/>
    <mergeCell ref="I7:K7"/>
    <mergeCell ref="L7:L9"/>
    <mergeCell ref="M7:M9"/>
    <mergeCell ref="L22:L24"/>
    <mergeCell ref="L52:L54"/>
    <mergeCell ref="M52:M54"/>
    <mergeCell ref="G37:G39"/>
    <mergeCell ref="H37:H39"/>
    <mergeCell ref="I58:K58"/>
    <mergeCell ref="G52:G54"/>
    <mergeCell ref="H52:H54"/>
    <mergeCell ref="I59:K59"/>
    <mergeCell ref="I65:K65"/>
    <mergeCell ref="I66:K66"/>
    <mergeCell ref="N7:O7"/>
    <mergeCell ref="F7:F9"/>
    <mergeCell ref="A22:A24"/>
    <mergeCell ref="B22:B24"/>
    <mergeCell ref="C22:C24"/>
    <mergeCell ref="D22:D24"/>
    <mergeCell ref="A7:A9"/>
    <mergeCell ref="B7:B9"/>
    <mergeCell ref="C7:C9"/>
    <mergeCell ref="D7:D9"/>
    <mergeCell ref="G7:G9"/>
    <mergeCell ref="H7:H9"/>
    <mergeCell ref="F22:F24"/>
    <mergeCell ref="G22:G24"/>
    <mergeCell ref="H22:H24"/>
    <mergeCell ref="I22:K22"/>
    <mergeCell ref="A1:O1"/>
    <mergeCell ref="B2:O2"/>
    <mergeCell ref="B5:L5"/>
    <mergeCell ref="M5:O6"/>
    <mergeCell ref="B6:L6"/>
    <mergeCell ref="B3:O3"/>
    <mergeCell ref="B4:O4"/>
    <mergeCell ref="A37:A39"/>
    <mergeCell ref="B37:B39"/>
    <mergeCell ref="C37:C39"/>
    <mergeCell ref="D37:D39"/>
    <mergeCell ref="F37:F39"/>
    <mergeCell ref="N52:O52"/>
    <mergeCell ref="I53:K54"/>
    <mergeCell ref="I38:I39"/>
    <mergeCell ref="M22:M24"/>
    <mergeCell ref="N22:O22"/>
    <mergeCell ref="I37:K37"/>
    <mergeCell ref="L37:L39"/>
    <mergeCell ref="M37:M39"/>
    <mergeCell ref="N37:O37"/>
    <mergeCell ref="I52:K52"/>
    <mergeCell ref="K38:K39"/>
    <mergeCell ref="A52:A54"/>
    <mergeCell ref="B52:B54"/>
    <mergeCell ref="C52:C54"/>
    <mergeCell ref="D52:D54"/>
    <mergeCell ref="F52:F54"/>
    <mergeCell ref="E8:E9"/>
    <mergeCell ref="E23:E24"/>
    <mergeCell ref="E38:E39"/>
    <mergeCell ref="E53:E54"/>
    <mergeCell ref="I60:K60"/>
    <mergeCell ref="I61:K61"/>
    <mergeCell ref="I62:K62"/>
    <mergeCell ref="I63:K63"/>
    <mergeCell ref="I64:K64"/>
    <mergeCell ref="I55:K55"/>
    <mergeCell ref="I56:K56"/>
    <mergeCell ref="I57:K57"/>
  </mergeCells>
  <conditionalFormatting sqref="H10:H21">
    <cfRule type="cellIs" dxfId="49" priority="16" operator="equal">
      <formula>$G$10</formula>
    </cfRule>
    <cfRule type="cellIs" dxfId="48" priority="17" operator="greaterThan">
      <formula>$G$10</formula>
    </cfRule>
    <cfRule type="cellIs" dxfId="47" priority="18" operator="lessThan">
      <formula>$G$13</formula>
    </cfRule>
  </conditionalFormatting>
  <conditionalFormatting sqref="H25:H36">
    <cfRule type="cellIs" dxfId="46" priority="11" operator="equal">
      <formula>$G$10</formula>
    </cfRule>
    <cfRule type="cellIs" dxfId="45" priority="12" operator="greaterThan">
      <formula>$G$10</formula>
    </cfRule>
    <cfRule type="cellIs" dxfId="44" priority="13" operator="lessThan">
      <formula>$G$13</formula>
    </cfRule>
  </conditionalFormatting>
  <conditionalFormatting sqref="H40:H51">
    <cfRule type="cellIs" dxfId="43" priority="6" operator="equal">
      <formula>$G$10</formula>
    </cfRule>
    <cfRule type="cellIs" dxfId="42" priority="7" operator="greaterThan">
      <formula>$G$10</formula>
    </cfRule>
    <cfRule type="cellIs" dxfId="41" priority="8" operator="lessThan">
      <formula>$G$13</formula>
    </cfRule>
  </conditionalFormatting>
  <conditionalFormatting sqref="H55:H66">
    <cfRule type="cellIs" dxfId="40" priority="1" operator="equal">
      <formula>$G$10</formula>
    </cfRule>
    <cfRule type="cellIs" dxfId="39" priority="2" operator="greaterThan">
      <formula>$G$10</formula>
    </cfRule>
    <cfRule type="cellIs" dxfId="38" priority="3" operator="lessThan">
      <formula>$G$13</formula>
    </cfRule>
  </conditionalFormatting>
  <conditionalFormatting sqref="N10:N21">
    <cfRule type="cellIs" dxfId="37" priority="20" operator="greaterThan">
      <formula>0.151</formula>
    </cfRule>
  </conditionalFormatting>
  <conditionalFormatting sqref="N25:N36">
    <cfRule type="cellIs" dxfId="36" priority="15" operator="greaterThan">
      <formula>0.151</formula>
    </cfRule>
  </conditionalFormatting>
  <conditionalFormatting sqref="N40:N51">
    <cfRule type="cellIs" dxfId="35" priority="10" operator="greaterThan">
      <formula>0.151</formula>
    </cfRule>
  </conditionalFormatting>
  <conditionalFormatting sqref="N55:N66">
    <cfRule type="cellIs" dxfId="34" priority="5" operator="greaterThan">
      <formula>0.151</formula>
    </cfRule>
  </conditionalFormatting>
  <conditionalFormatting sqref="O10:O21">
    <cfRule type="cellIs" dxfId="33" priority="19" operator="lessThan">
      <formula>0.15</formula>
    </cfRule>
  </conditionalFormatting>
  <conditionalFormatting sqref="O25:O36">
    <cfRule type="cellIs" dxfId="32" priority="14" operator="lessThan">
      <formula>0.15</formula>
    </cfRule>
  </conditionalFormatting>
  <conditionalFormatting sqref="O40:O51">
    <cfRule type="cellIs" dxfId="31" priority="9" operator="lessThan">
      <formula>0.15</formula>
    </cfRule>
  </conditionalFormatting>
  <conditionalFormatting sqref="O55:O66">
    <cfRule type="cellIs" dxfId="30" priority="4" operator="lessThan">
      <formula>0.151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"/>
  <sheetViews>
    <sheetView workbookViewId="0"/>
  </sheetViews>
  <sheetFormatPr defaultRowHeight="15" x14ac:dyDescent="0.25"/>
  <cols>
    <col min="1" max="1" width="14.28515625" bestFit="1" customWidth="1"/>
    <col min="2" max="2" width="20.5703125" customWidth="1"/>
    <col min="3" max="3" width="10" bestFit="1" customWidth="1"/>
    <col min="4" max="4" width="10.7109375" bestFit="1" customWidth="1"/>
    <col min="5" max="5" width="19.28515625" bestFit="1" customWidth="1"/>
    <col min="6" max="6" width="9.7109375" bestFit="1" customWidth="1"/>
    <col min="7" max="7" width="10.5703125" bestFit="1" customWidth="1"/>
    <col min="8" max="8" width="8.42578125" bestFit="1" customWidth="1"/>
    <col min="9" max="10" width="10.42578125" bestFit="1" customWidth="1"/>
    <col min="11" max="11" width="15.28515625" bestFit="1" customWidth="1"/>
    <col min="12" max="12" width="15" customWidth="1"/>
    <col min="13" max="13" width="13.5703125" bestFit="1" customWidth="1"/>
    <col min="14" max="14" width="22.5703125" customWidth="1"/>
    <col min="15" max="15" width="23.42578125" customWidth="1"/>
  </cols>
  <sheetData>
    <row r="1" spans="1:15" ht="26.25" x14ac:dyDescent="0.4">
      <c r="A1" s="119" t="s">
        <v>83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1"/>
    </row>
    <row r="2" spans="1:15" x14ac:dyDescent="0.25">
      <c r="A2" s="7" t="s">
        <v>1</v>
      </c>
      <c r="B2" s="122" t="s">
        <v>2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4"/>
    </row>
    <row r="3" spans="1:15" x14ac:dyDescent="0.25">
      <c r="A3" s="7" t="s">
        <v>51</v>
      </c>
      <c r="B3" s="122" t="s">
        <v>84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4"/>
    </row>
    <row r="4" spans="1:15" x14ac:dyDescent="0.25">
      <c r="A4" s="7" t="s">
        <v>5</v>
      </c>
      <c r="B4" s="122" t="s">
        <v>85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</row>
    <row r="5" spans="1:15" ht="32.25" customHeight="1" x14ac:dyDescent="0.25">
      <c r="A5" s="14" t="s">
        <v>7</v>
      </c>
      <c r="B5" s="151" t="s">
        <v>86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</row>
    <row r="6" spans="1:15" ht="16.5" thickBot="1" x14ac:dyDescent="0.3">
      <c r="A6" s="13" t="s">
        <v>9</v>
      </c>
      <c r="B6" s="154" t="s">
        <v>87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6"/>
    </row>
    <row r="7" spans="1:15" ht="16.5" thickTop="1" thickBot="1" x14ac:dyDescent="0.3">
      <c r="A7" s="89" t="s">
        <v>11</v>
      </c>
      <c r="B7" s="89" t="s">
        <v>12</v>
      </c>
      <c r="C7" s="89" t="s">
        <v>13</v>
      </c>
      <c r="D7" s="89" t="s">
        <v>14</v>
      </c>
      <c r="E7" s="15" t="s">
        <v>15</v>
      </c>
      <c r="F7" s="92" t="s">
        <v>16</v>
      </c>
      <c r="G7" s="92" t="s">
        <v>17</v>
      </c>
      <c r="H7" s="92" t="s">
        <v>18</v>
      </c>
      <c r="I7" s="89" t="s">
        <v>88</v>
      </c>
      <c r="J7" s="89"/>
      <c r="K7" s="89"/>
      <c r="L7" s="92" t="s">
        <v>20</v>
      </c>
      <c r="M7" s="99" t="s">
        <v>21</v>
      </c>
      <c r="N7" s="97" t="s">
        <v>50</v>
      </c>
      <c r="O7" s="98"/>
    </row>
    <row r="8" spans="1:15" ht="15.75" thickTop="1" x14ac:dyDescent="0.25">
      <c r="A8" s="90"/>
      <c r="B8" s="90"/>
      <c r="C8" s="90"/>
      <c r="D8" s="90"/>
      <c r="E8" s="95" t="s">
        <v>23</v>
      </c>
      <c r="F8" s="93"/>
      <c r="G8" s="93"/>
      <c r="H8" s="93"/>
      <c r="I8" s="111" t="s">
        <v>89</v>
      </c>
      <c r="J8" s="112"/>
      <c r="K8" s="113"/>
      <c r="L8" s="93"/>
      <c r="M8" s="100"/>
      <c r="N8" s="8" t="s">
        <v>26</v>
      </c>
      <c r="O8" s="10" t="s">
        <v>27</v>
      </c>
    </row>
    <row r="9" spans="1:15" ht="15.75" thickBot="1" x14ac:dyDescent="0.3">
      <c r="A9" s="91"/>
      <c r="B9" s="91"/>
      <c r="C9" s="91"/>
      <c r="D9" s="91"/>
      <c r="E9" s="96"/>
      <c r="F9" s="94"/>
      <c r="G9" s="94"/>
      <c r="H9" s="94"/>
      <c r="I9" s="114"/>
      <c r="J9" s="115"/>
      <c r="K9" s="116"/>
      <c r="L9" s="94"/>
      <c r="M9" s="101"/>
      <c r="N9" s="9" t="s">
        <v>28</v>
      </c>
      <c r="O9" s="11" t="s">
        <v>29</v>
      </c>
    </row>
    <row r="10" spans="1:15" ht="15.75" thickTop="1" x14ac:dyDescent="0.25">
      <c r="A10" s="16" t="s">
        <v>90</v>
      </c>
      <c r="B10" s="17" t="s">
        <v>31</v>
      </c>
      <c r="C10" s="17">
        <v>35.651971000000003</v>
      </c>
      <c r="D10" s="17"/>
      <c r="E10" s="18">
        <f>H10/F10</f>
        <v>0.83333333333333337</v>
      </c>
      <c r="F10" s="17">
        <v>18</v>
      </c>
      <c r="G10" s="17">
        <f>F10*0.75</f>
        <v>13.5</v>
      </c>
      <c r="H10" s="17">
        <v>15</v>
      </c>
      <c r="I10" s="139" t="s">
        <v>91</v>
      </c>
      <c r="J10" s="140"/>
      <c r="K10" s="141"/>
      <c r="L10" s="17">
        <v>0</v>
      </c>
      <c r="M10" s="18">
        <f>L10/H10</f>
        <v>0</v>
      </c>
      <c r="N10" s="20">
        <f t="shared" ref="N10:N21" si="0">M10</f>
        <v>0</v>
      </c>
      <c r="O10" s="21">
        <f t="shared" ref="O10:O21" si="1">M10</f>
        <v>0</v>
      </c>
    </row>
    <row r="11" spans="1:15" x14ac:dyDescent="0.25">
      <c r="A11" s="43" t="s">
        <v>90</v>
      </c>
      <c r="B11" s="22" t="s">
        <v>32</v>
      </c>
      <c r="C11" s="22">
        <v>35.666381999999999</v>
      </c>
      <c r="D11" s="22">
        <v>-96.679903999999993</v>
      </c>
      <c r="E11" s="23">
        <f t="shared" ref="E11:E21" si="2">H11/F11</f>
        <v>0.95833333333333337</v>
      </c>
      <c r="F11" s="22">
        <v>24</v>
      </c>
      <c r="G11" s="22">
        <f t="shared" ref="G11:G21" si="3">F11*0.75</f>
        <v>18</v>
      </c>
      <c r="H11" s="22">
        <v>23</v>
      </c>
      <c r="I11" s="148" t="s">
        <v>92</v>
      </c>
      <c r="J11" s="149"/>
      <c r="K11" s="150"/>
      <c r="L11" s="22">
        <v>0</v>
      </c>
      <c r="M11" s="23">
        <f t="shared" ref="M11:M21" si="4">L11/H11</f>
        <v>0</v>
      </c>
      <c r="N11" s="24">
        <f t="shared" si="0"/>
        <v>0</v>
      </c>
      <c r="O11" s="25">
        <f t="shared" si="1"/>
        <v>0</v>
      </c>
    </row>
    <row r="12" spans="1:15" x14ac:dyDescent="0.25">
      <c r="A12" s="16" t="s">
        <v>90</v>
      </c>
      <c r="B12" s="26" t="s">
        <v>33</v>
      </c>
      <c r="C12" s="26">
        <v>35.642229999999998</v>
      </c>
      <c r="D12" s="26">
        <v>-96.822198</v>
      </c>
      <c r="E12" s="27">
        <f t="shared" si="2"/>
        <v>0.94444444444444442</v>
      </c>
      <c r="F12" s="26">
        <v>18</v>
      </c>
      <c r="G12" s="26">
        <f t="shared" si="3"/>
        <v>13.5</v>
      </c>
      <c r="H12" s="26">
        <v>17</v>
      </c>
      <c r="I12" s="142" t="s">
        <v>91</v>
      </c>
      <c r="J12" s="143"/>
      <c r="K12" s="144"/>
      <c r="L12" s="26">
        <v>0</v>
      </c>
      <c r="M12" s="27">
        <f t="shared" si="4"/>
        <v>0</v>
      </c>
      <c r="N12" s="28">
        <f t="shared" si="0"/>
        <v>0</v>
      </c>
      <c r="O12" s="29">
        <f t="shared" si="1"/>
        <v>0</v>
      </c>
    </row>
    <row r="13" spans="1:15" x14ac:dyDescent="0.25">
      <c r="A13" s="43" t="s">
        <v>90</v>
      </c>
      <c r="B13" s="22" t="s">
        <v>34</v>
      </c>
      <c r="C13" s="22">
        <v>35.640510999999996</v>
      </c>
      <c r="D13" s="22">
        <v>-96.910903000000005</v>
      </c>
      <c r="E13" s="23">
        <f t="shared" si="2"/>
        <v>0.94444444444444442</v>
      </c>
      <c r="F13" s="22">
        <v>18</v>
      </c>
      <c r="G13" s="22">
        <f t="shared" si="3"/>
        <v>13.5</v>
      </c>
      <c r="H13" s="22">
        <v>17</v>
      </c>
      <c r="I13" s="142" t="s">
        <v>91</v>
      </c>
      <c r="J13" s="143"/>
      <c r="K13" s="144"/>
      <c r="L13" s="22">
        <v>0</v>
      </c>
      <c r="M13" s="23">
        <f t="shared" si="4"/>
        <v>0</v>
      </c>
      <c r="N13" s="24">
        <f t="shared" si="0"/>
        <v>0</v>
      </c>
      <c r="O13" s="25">
        <f t="shared" si="1"/>
        <v>0</v>
      </c>
    </row>
    <row r="14" spans="1:15" x14ac:dyDescent="0.25">
      <c r="A14" s="16" t="s">
        <v>90</v>
      </c>
      <c r="B14" s="26" t="s">
        <v>35</v>
      </c>
      <c r="C14" s="26">
        <v>35.683965000000001</v>
      </c>
      <c r="D14" s="26">
        <v>-96.698024000000004</v>
      </c>
      <c r="E14" s="27">
        <f t="shared" si="2"/>
        <v>0.77777777777777779</v>
      </c>
      <c r="F14" s="26">
        <v>18</v>
      </c>
      <c r="G14" s="26">
        <f t="shared" si="3"/>
        <v>13.5</v>
      </c>
      <c r="H14" s="26">
        <v>14</v>
      </c>
      <c r="I14" s="142" t="s">
        <v>91</v>
      </c>
      <c r="J14" s="143"/>
      <c r="K14" s="144"/>
      <c r="L14" s="26">
        <v>0</v>
      </c>
      <c r="M14" s="27">
        <f t="shared" si="4"/>
        <v>0</v>
      </c>
      <c r="N14" s="28">
        <f t="shared" si="0"/>
        <v>0</v>
      </c>
      <c r="O14" s="29">
        <f t="shared" si="1"/>
        <v>0</v>
      </c>
    </row>
    <row r="15" spans="1:15" x14ac:dyDescent="0.25">
      <c r="A15" s="43" t="s">
        <v>90</v>
      </c>
      <c r="B15" s="22" t="s">
        <v>93</v>
      </c>
      <c r="C15" s="22">
        <v>35.621029</v>
      </c>
      <c r="D15" s="22">
        <v>-96.822177999999994</v>
      </c>
      <c r="E15" s="23">
        <f t="shared" si="2"/>
        <v>0.72222222222222221</v>
      </c>
      <c r="F15" s="22">
        <v>18</v>
      </c>
      <c r="G15" s="22">
        <f t="shared" si="3"/>
        <v>13.5</v>
      </c>
      <c r="H15" s="22">
        <v>13</v>
      </c>
      <c r="I15" s="142" t="s">
        <v>91</v>
      </c>
      <c r="J15" s="143"/>
      <c r="K15" s="144"/>
      <c r="L15" s="22">
        <v>0</v>
      </c>
      <c r="M15" s="23">
        <f t="shared" si="4"/>
        <v>0</v>
      </c>
      <c r="N15" s="24">
        <f t="shared" si="0"/>
        <v>0</v>
      </c>
      <c r="O15" s="25">
        <f t="shared" si="1"/>
        <v>0</v>
      </c>
    </row>
    <row r="16" spans="1:15" x14ac:dyDescent="0.25">
      <c r="A16" s="16" t="s">
        <v>90</v>
      </c>
      <c r="B16" s="26" t="s">
        <v>37</v>
      </c>
      <c r="C16" s="26">
        <v>35.608344000000002</v>
      </c>
      <c r="D16" s="26">
        <v>-96.733529000000004</v>
      </c>
      <c r="E16" s="27">
        <f t="shared" si="2"/>
        <v>0.44444444444444442</v>
      </c>
      <c r="F16" s="26">
        <v>18</v>
      </c>
      <c r="G16" s="26">
        <f t="shared" si="3"/>
        <v>13.5</v>
      </c>
      <c r="H16" s="26">
        <v>8</v>
      </c>
      <c r="I16" s="142" t="s">
        <v>91</v>
      </c>
      <c r="J16" s="143"/>
      <c r="K16" s="144"/>
      <c r="L16" s="26">
        <v>1</v>
      </c>
      <c r="M16" s="27">
        <f t="shared" si="4"/>
        <v>0.125</v>
      </c>
      <c r="N16" s="28">
        <f t="shared" si="0"/>
        <v>0.125</v>
      </c>
      <c r="O16" s="29">
        <f t="shared" si="1"/>
        <v>0.125</v>
      </c>
    </row>
    <row r="17" spans="1:15" x14ac:dyDescent="0.25">
      <c r="A17" s="43" t="s">
        <v>90</v>
      </c>
      <c r="B17" s="22" t="s">
        <v>38</v>
      </c>
      <c r="C17" s="22">
        <v>35.677712</v>
      </c>
      <c r="D17" s="22">
        <v>-96.658317999999994</v>
      </c>
      <c r="E17" s="23">
        <f t="shared" si="2"/>
        <v>0.95833333333333337</v>
      </c>
      <c r="F17" s="22">
        <v>24</v>
      </c>
      <c r="G17" s="22">
        <f t="shared" si="3"/>
        <v>18</v>
      </c>
      <c r="H17" s="22">
        <v>23</v>
      </c>
      <c r="I17" s="142" t="s">
        <v>91</v>
      </c>
      <c r="J17" s="143"/>
      <c r="K17" s="144"/>
      <c r="L17" s="22">
        <v>0</v>
      </c>
      <c r="M17" s="23">
        <f t="shared" si="4"/>
        <v>0</v>
      </c>
      <c r="N17" s="24">
        <f t="shared" si="0"/>
        <v>0</v>
      </c>
      <c r="O17" s="25">
        <f t="shared" si="1"/>
        <v>0</v>
      </c>
    </row>
    <row r="18" spans="1:15" x14ac:dyDescent="0.25">
      <c r="A18" s="16" t="s">
        <v>90</v>
      </c>
      <c r="B18" s="26" t="s">
        <v>39</v>
      </c>
      <c r="C18" s="26">
        <v>35.677965</v>
      </c>
      <c r="D18" s="26">
        <v>-96.657858000000004</v>
      </c>
      <c r="E18" s="56">
        <f t="shared" si="2"/>
        <v>0</v>
      </c>
      <c r="F18" s="33">
        <v>24</v>
      </c>
      <c r="G18" s="33">
        <f t="shared" si="3"/>
        <v>18</v>
      </c>
      <c r="H18" s="33"/>
      <c r="I18" s="145" t="s">
        <v>91</v>
      </c>
      <c r="J18" s="146"/>
      <c r="K18" s="147"/>
      <c r="L18" s="33"/>
      <c r="M18" s="56" t="e">
        <f t="shared" si="4"/>
        <v>#DIV/0!</v>
      </c>
      <c r="N18" s="31" t="e">
        <f t="shared" si="0"/>
        <v>#DIV/0!</v>
      </c>
      <c r="O18" s="32" t="e">
        <f t="shared" si="1"/>
        <v>#DIV/0!</v>
      </c>
    </row>
    <row r="19" spans="1:15" x14ac:dyDescent="0.25">
      <c r="A19" s="43" t="s">
        <v>90</v>
      </c>
      <c r="B19" s="22" t="s">
        <v>41</v>
      </c>
      <c r="C19" s="22">
        <v>35.677534000000001</v>
      </c>
      <c r="D19" s="22">
        <v>-96.657402000000005</v>
      </c>
      <c r="E19" s="56">
        <f t="shared" si="2"/>
        <v>0</v>
      </c>
      <c r="F19" s="33">
        <v>24</v>
      </c>
      <c r="G19" s="33">
        <f t="shared" si="3"/>
        <v>18</v>
      </c>
      <c r="H19" s="33"/>
      <c r="I19" s="145" t="s">
        <v>91</v>
      </c>
      <c r="J19" s="146"/>
      <c r="K19" s="147"/>
      <c r="L19" s="33"/>
      <c r="M19" s="56" t="e">
        <f t="shared" si="4"/>
        <v>#DIV/0!</v>
      </c>
      <c r="N19" s="31" t="e">
        <f t="shared" si="0"/>
        <v>#DIV/0!</v>
      </c>
      <c r="O19" s="32" t="e">
        <f t="shared" si="1"/>
        <v>#DIV/0!</v>
      </c>
    </row>
    <row r="20" spans="1:15" x14ac:dyDescent="0.25">
      <c r="A20" s="16" t="s">
        <v>90</v>
      </c>
      <c r="B20" s="26" t="s">
        <v>42</v>
      </c>
      <c r="C20" s="26">
        <v>35.677171999999999</v>
      </c>
      <c r="D20" s="26">
        <v>-96.658192</v>
      </c>
      <c r="E20" s="56">
        <f t="shared" si="2"/>
        <v>0</v>
      </c>
      <c r="F20" s="33">
        <v>24</v>
      </c>
      <c r="G20" s="33">
        <f t="shared" si="3"/>
        <v>18</v>
      </c>
      <c r="H20" s="33"/>
      <c r="I20" s="145" t="s">
        <v>91</v>
      </c>
      <c r="J20" s="146"/>
      <c r="K20" s="147"/>
      <c r="L20" s="33"/>
      <c r="M20" s="56" t="e">
        <f t="shared" si="4"/>
        <v>#DIV/0!</v>
      </c>
      <c r="N20" s="31" t="e">
        <f t="shared" si="0"/>
        <v>#DIV/0!</v>
      </c>
      <c r="O20" s="32" t="e">
        <f t="shared" si="1"/>
        <v>#DIV/0!</v>
      </c>
    </row>
    <row r="21" spans="1:15" ht="15.75" thickBot="1" x14ac:dyDescent="0.3">
      <c r="A21" s="43" t="s">
        <v>90</v>
      </c>
      <c r="B21" s="34" t="s">
        <v>43</v>
      </c>
      <c r="C21" s="34">
        <v>35.677579999999999</v>
      </c>
      <c r="D21" s="34">
        <v>-96.657960000000003</v>
      </c>
      <c r="E21" s="58">
        <f t="shared" si="2"/>
        <v>0</v>
      </c>
      <c r="F21" s="35">
        <v>24</v>
      </c>
      <c r="G21" s="35">
        <f t="shared" si="3"/>
        <v>18</v>
      </c>
      <c r="H21" s="35"/>
      <c r="I21" s="136" t="s">
        <v>91</v>
      </c>
      <c r="J21" s="137"/>
      <c r="K21" s="138"/>
      <c r="L21" s="35"/>
      <c r="M21" s="58" t="e">
        <f t="shared" si="4"/>
        <v>#DIV/0!</v>
      </c>
      <c r="N21" s="36" t="e">
        <f t="shared" si="0"/>
        <v>#DIV/0!</v>
      </c>
      <c r="O21" s="37" t="e">
        <f t="shared" si="1"/>
        <v>#DIV/0!</v>
      </c>
    </row>
    <row r="22" spans="1:15" ht="16.5" thickTop="1" thickBot="1" x14ac:dyDescent="0.3">
      <c r="A22" s="89" t="s">
        <v>11</v>
      </c>
      <c r="B22" s="89" t="s">
        <v>12</v>
      </c>
      <c r="C22" s="89" t="s">
        <v>13</v>
      </c>
      <c r="D22" s="89" t="s">
        <v>14</v>
      </c>
      <c r="E22" s="15" t="s">
        <v>15</v>
      </c>
      <c r="F22" s="92" t="s">
        <v>16</v>
      </c>
      <c r="G22" s="92" t="s">
        <v>17</v>
      </c>
      <c r="H22" s="92" t="s">
        <v>18</v>
      </c>
      <c r="I22" s="89" t="s">
        <v>88</v>
      </c>
      <c r="J22" s="89"/>
      <c r="K22" s="89"/>
      <c r="L22" s="92" t="s">
        <v>20</v>
      </c>
      <c r="M22" s="99" t="s">
        <v>21</v>
      </c>
      <c r="N22" s="97" t="s">
        <v>50</v>
      </c>
      <c r="O22" s="98"/>
    </row>
    <row r="23" spans="1:15" ht="15.75" thickTop="1" x14ac:dyDescent="0.25">
      <c r="A23" s="90"/>
      <c r="B23" s="90"/>
      <c r="C23" s="90"/>
      <c r="D23" s="90"/>
      <c r="E23" s="95" t="s">
        <v>23</v>
      </c>
      <c r="F23" s="93"/>
      <c r="G23" s="93"/>
      <c r="H23" s="93"/>
      <c r="I23" s="111" t="s">
        <v>89</v>
      </c>
      <c r="J23" s="112"/>
      <c r="K23" s="113"/>
      <c r="L23" s="93"/>
      <c r="M23" s="100"/>
      <c r="N23" s="8" t="s">
        <v>26</v>
      </c>
      <c r="O23" s="10" t="s">
        <v>27</v>
      </c>
    </row>
    <row r="24" spans="1:15" ht="15.75" thickBot="1" x14ac:dyDescent="0.3">
      <c r="A24" s="91"/>
      <c r="B24" s="91"/>
      <c r="C24" s="91"/>
      <c r="D24" s="91"/>
      <c r="E24" s="96"/>
      <c r="F24" s="94"/>
      <c r="G24" s="94"/>
      <c r="H24" s="94"/>
      <c r="I24" s="114"/>
      <c r="J24" s="115"/>
      <c r="K24" s="116"/>
      <c r="L24" s="94"/>
      <c r="M24" s="101"/>
      <c r="N24" s="9" t="s">
        <v>28</v>
      </c>
      <c r="O24" s="11" t="s">
        <v>29</v>
      </c>
    </row>
    <row r="25" spans="1:15" ht="15.75" thickTop="1" x14ac:dyDescent="0.25">
      <c r="A25" s="41" t="s">
        <v>94</v>
      </c>
      <c r="B25" s="17" t="s">
        <v>31</v>
      </c>
      <c r="C25" s="17">
        <v>35.651971000000003</v>
      </c>
      <c r="D25" s="17">
        <v>-96.893034</v>
      </c>
      <c r="E25" s="18">
        <f>H25/F25</f>
        <v>0.83333333333333337</v>
      </c>
      <c r="F25" s="17">
        <v>18</v>
      </c>
      <c r="G25" s="17">
        <f>F25*0.75</f>
        <v>13.5</v>
      </c>
      <c r="H25" s="17">
        <v>15</v>
      </c>
      <c r="I25" s="139" t="s">
        <v>91</v>
      </c>
      <c r="J25" s="140"/>
      <c r="K25" s="141"/>
      <c r="L25" s="17">
        <v>0</v>
      </c>
      <c r="M25" s="18">
        <f>L25/H25</f>
        <v>0</v>
      </c>
      <c r="N25" s="20">
        <f t="shared" ref="N25:N36" si="5">M25</f>
        <v>0</v>
      </c>
      <c r="O25" s="21">
        <f t="shared" ref="O25:O36" si="6">M25</f>
        <v>0</v>
      </c>
    </row>
    <row r="26" spans="1:15" x14ac:dyDescent="0.25">
      <c r="A26" s="44" t="s">
        <v>94</v>
      </c>
      <c r="B26" s="22" t="s">
        <v>32</v>
      </c>
      <c r="C26" s="22">
        <v>35.666381999999999</v>
      </c>
      <c r="D26" s="22">
        <v>-96.679903999999993</v>
      </c>
      <c r="E26" s="23">
        <f t="shared" ref="E26:E36" si="7">H26/F26</f>
        <v>0.95833333333333337</v>
      </c>
      <c r="F26" s="22">
        <v>24</v>
      </c>
      <c r="G26" s="22">
        <f t="shared" ref="G26:G36" si="8">F26*0.75</f>
        <v>18</v>
      </c>
      <c r="H26" s="22">
        <v>23</v>
      </c>
      <c r="I26" s="142" t="s">
        <v>91</v>
      </c>
      <c r="J26" s="143"/>
      <c r="K26" s="144"/>
      <c r="L26" s="22">
        <v>0</v>
      </c>
      <c r="M26" s="23">
        <f t="shared" ref="M26:M36" si="9">L26/H26</f>
        <v>0</v>
      </c>
      <c r="N26" s="24">
        <f t="shared" si="5"/>
        <v>0</v>
      </c>
      <c r="O26" s="25">
        <f t="shared" si="6"/>
        <v>0</v>
      </c>
    </row>
    <row r="27" spans="1:15" x14ac:dyDescent="0.25">
      <c r="A27" s="45" t="s">
        <v>94</v>
      </c>
      <c r="B27" s="26" t="s">
        <v>33</v>
      </c>
      <c r="C27" s="26">
        <v>35.642229999999998</v>
      </c>
      <c r="D27" s="26">
        <v>-96.822198</v>
      </c>
      <c r="E27" s="27">
        <f t="shared" si="7"/>
        <v>0.94444444444444442</v>
      </c>
      <c r="F27" s="26">
        <v>18</v>
      </c>
      <c r="G27" s="26">
        <f t="shared" si="8"/>
        <v>13.5</v>
      </c>
      <c r="H27" s="26">
        <v>17</v>
      </c>
      <c r="I27" s="142" t="s">
        <v>91</v>
      </c>
      <c r="J27" s="143"/>
      <c r="K27" s="144"/>
      <c r="L27" s="26">
        <v>0</v>
      </c>
      <c r="M27" s="27">
        <f t="shared" si="9"/>
        <v>0</v>
      </c>
      <c r="N27" s="28">
        <f t="shared" si="5"/>
        <v>0</v>
      </c>
      <c r="O27" s="29">
        <f t="shared" si="6"/>
        <v>0</v>
      </c>
    </row>
    <row r="28" spans="1:15" x14ac:dyDescent="0.25">
      <c r="A28" s="44" t="s">
        <v>94</v>
      </c>
      <c r="B28" s="22" t="s">
        <v>34</v>
      </c>
      <c r="C28" s="22">
        <v>35.640510999999996</v>
      </c>
      <c r="D28" s="22">
        <v>-96.910903000000005</v>
      </c>
      <c r="E28" s="23">
        <f t="shared" si="7"/>
        <v>0.94444444444444442</v>
      </c>
      <c r="F28" s="22">
        <v>18</v>
      </c>
      <c r="G28" s="22">
        <f t="shared" si="8"/>
        <v>13.5</v>
      </c>
      <c r="H28" s="22">
        <v>17</v>
      </c>
      <c r="I28" s="142" t="s">
        <v>91</v>
      </c>
      <c r="J28" s="143"/>
      <c r="K28" s="144"/>
      <c r="L28" s="22">
        <v>0</v>
      </c>
      <c r="M28" s="23">
        <f t="shared" si="9"/>
        <v>0</v>
      </c>
      <c r="N28" s="24">
        <f t="shared" si="5"/>
        <v>0</v>
      </c>
      <c r="O28" s="25">
        <f t="shared" si="6"/>
        <v>0</v>
      </c>
    </row>
    <row r="29" spans="1:15" x14ac:dyDescent="0.25">
      <c r="A29" s="45" t="s">
        <v>94</v>
      </c>
      <c r="B29" s="26" t="s">
        <v>35</v>
      </c>
      <c r="C29" s="26">
        <v>35.683965000000001</v>
      </c>
      <c r="D29" s="26">
        <v>-96.698024000000004</v>
      </c>
      <c r="E29" s="27">
        <f t="shared" si="7"/>
        <v>0.77777777777777779</v>
      </c>
      <c r="F29" s="26">
        <v>18</v>
      </c>
      <c r="G29" s="26">
        <f t="shared" si="8"/>
        <v>13.5</v>
      </c>
      <c r="H29" s="26">
        <v>14</v>
      </c>
      <c r="I29" s="142" t="s">
        <v>91</v>
      </c>
      <c r="J29" s="143"/>
      <c r="K29" s="144"/>
      <c r="L29" s="26">
        <v>0</v>
      </c>
      <c r="M29" s="27">
        <f t="shared" si="9"/>
        <v>0</v>
      </c>
      <c r="N29" s="28">
        <f t="shared" si="5"/>
        <v>0</v>
      </c>
      <c r="O29" s="29">
        <f t="shared" si="6"/>
        <v>0</v>
      </c>
    </row>
    <row r="30" spans="1:15" x14ac:dyDescent="0.25">
      <c r="A30" s="44" t="s">
        <v>94</v>
      </c>
      <c r="B30" s="22" t="s">
        <v>93</v>
      </c>
      <c r="C30" s="22">
        <v>35.621029</v>
      </c>
      <c r="D30" s="22">
        <v>-96.822177999999994</v>
      </c>
      <c r="E30" s="23">
        <f t="shared" si="7"/>
        <v>0.72222222222222221</v>
      </c>
      <c r="F30" s="22">
        <v>18</v>
      </c>
      <c r="G30" s="22">
        <f t="shared" si="8"/>
        <v>13.5</v>
      </c>
      <c r="H30" s="22">
        <v>13</v>
      </c>
      <c r="I30" s="142" t="s">
        <v>91</v>
      </c>
      <c r="J30" s="143"/>
      <c r="K30" s="144"/>
      <c r="L30" s="22">
        <v>0</v>
      </c>
      <c r="M30" s="23">
        <f t="shared" si="9"/>
        <v>0</v>
      </c>
      <c r="N30" s="24">
        <f t="shared" si="5"/>
        <v>0</v>
      </c>
      <c r="O30" s="25">
        <f t="shared" si="6"/>
        <v>0</v>
      </c>
    </row>
    <row r="31" spans="1:15" x14ac:dyDescent="0.25">
      <c r="A31" s="45" t="s">
        <v>94</v>
      </c>
      <c r="B31" s="26" t="s">
        <v>37</v>
      </c>
      <c r="C31" s="26">
        <v>35.608344000000002</v>
      </c>
      <c r="D31" s="26">
        <v>-96.733529000000004</v>
      </c>
      <c r="E31" s="27">
        <f t="shared" si="7"/>
        <v>0.44444444444444442</v>
      </c>
      <c r="F31" s="26">
        <v>18</v>
      </c>
      <c r="G31" s="26">
        <f t="shared" si="8"/>
        <v>13.5</v>
      </c>
      <c r="H31" s="26">
        <v>8</v>
      </c>
      <c r="I31" s="142" t="s">
        <v>91</v>
      </c>
      <c r="J31" s="143"/>
      <c r="K31" s="144"/>
      <c r="L31" s="26">
        <v>0</v>
      </c>
      <c r="M31" s="27">
        <f t="shared" si="9"/>
        <v>0</v>
      </c>
      <c r="N31" s="28">
        <f t="shared" si="5"/>
        <v>0</v>
      </c>
      <c r="O31" s="29">
        <f t="shared" si="6"/>
        <v>0</v>
      </c>
    </row>
    <row r="32" spans="1:15" x14ac:dyDescent="0.25">
      <c r="A32" s="44" t="s">
        <v>94</v>
      </c>
      <c r="B32" s="22" t="s">
        <v>38</v>
      </c>
      <c r="C32" s="22">
        <v>35.677712</v>
      </c>
      <c r="D32" s="22">
        <v>-96.658317999999994</v>
      </c>
      <c r="E32" s="23">
        <f t="shared" si="7"/>
        <v>0.95833333333333337</v>
      </c>
      <c r="F32" s="22">
        <v>24</v>
      </c>
      <c r="G32" s="22">
        <f t="shared" si="8"/>
        <v>18</v>
      </c>
      <c r="H32" s="22">
        <v>23</v>
      </c>
      <c r="I32" s="142" t="s">
        <v>91</v>
      </c>
      <c r="J32" s="143"/>
      <c r="K32" s="144"/>
      <c r="L32" s="22">
        <v>0</v>
      </c>
      <c r="M32" s="23">
        <f t="shared" si="9"/>
        <v>0</v>
      </c>
      <c r="N32" s="24">
        <f t="shared" si="5"/>
        <v>0</v>
      </c>
      <c r="O32" s="25">
        <f t="shared" si="6"/>
        <v>0</v>
      </c>
    </row>
    <row r="33" spans="1:15" x14ac:dyDescent="0.25">
      <c r="A33" s="45" t="s">
        <v>94</v>
      </c>
      <c r="B33" s="26" t="s">
        <v>39</v>
      </c>
      <c r="C33" s="26">
        <v>35.677965</v>
      </c>
      <c r="D33" s="26">
        <v>-96.657858000000004</v>
      </c>
      <c r="E33" s="56">
        <f t="shared" si="7"/>
        <v>0</v>
      </c>
      <c r="F33" s="33">
        <v>24</v>
      </c>
      <c r="G33" s="33">
        <f t="shared" si="8"/>
        <v>18</v>
      </c>
      <c r="H33" s="33"/>
      <c r="I33" s="145" t="s">
        <v>91</v>
      </c>
      <c r="J33" s="146"/>
      <c r="K33" s="147"/>
      <c r="L33" s="33"/>
      <c r="M33" s="56" t="e">
        <f t="shared" si="9"/>
        <v>#DIV/0!</v>
      </c>
      <c r="N33" s="31" t="e">
        <f t="shared" si="5"/>
        <v>#DIV/0!</v>
      </c>
      <c r="O33" s="32" t="e">
        <f t="shared" si="6"/>
        <v>#DIV/0!</v>
      </c>
    </row>
    <row r="34" spans="1:15" x14ac:dyDescent="0.25">
      <c r="A34" s="44" t="s">
        <v>94</v>
      </c>
      <c r="B34" s="22" t="s">
        <v>41</v>
      </c>
      <c r="C34" s="22">
        <v>35.677534000000001</v>
      </c>
      <c r="D34" s="22">
        <v>-96.657402000000005</v>
      </c>
      <c r="E34" s="56">
        <f t="shared" si="7"/>
        <v>0</v>
      </c>
      <c r="F34" s="33">
        <v>24</v>
      </c>
      <c r="G34" s="33">
        <f t="shared" si="8"/>
        <v>18</v>
      </c>
      <c r="H34" s="33"/>
      <c r="I34" s="145" t="s">
        <v>91</v>
      </c>
      <c r="J34" s="146"/>
      <c r="K34" s="147"/>
      <c r="L34" s="33"/>
      <c r="M34" s="56" t="e">
        <f t="shared" si="9"/>
        <v>#DIV/0!</v>
      </c>
      <c r="N34" s="31" t="e">
        <f t="shared" si="5"/>
        <v>#DIV/0!</v>
      </c>
      <c r="O34" s="32" t="e">
        <f t="shared" si="6"/>
        <v>#DIV/0!</v>
      </c>
    </row>
    <row r="35" spans="1:15" x14ac:dyDescent="0.25">
      <c r="A35" s="45" t="s">
        <v>94</v>
      </c>
      <c r="B35" s="26" t="s">
        <v>42</v>
      </c>
      <c r="C35" s="26">
        <v>35.677171999999999</v>
      </c>
      <c r="D35" s="26">
        <v>-96.658192</v>
      </c>
      <c r="E35" s="56">
        <f t="shared" si="7"/>
        <v>0</v>
      </c>
      <c r="F35" s="33">
        <v>24</v>
      </c>
      <c r="G35" s="33">
        <f t="shared" si="8"/>
        <v>18</v>
      </c>
      <c r="H35" s="33"/>
      <c r="I35" s="145" t="s">
        <v>91</v>
      </c>
      <c r="J35" s="146"/>
      <c r="K35" s="147"/>
      <c r="L35" s="33"/>
      <c r="M35" s="56" t="e">
        <f t="shared" si="9"/>
        <v>#DIV/0!</v>
      </c>
      <c r="N35" s="31" t="e">
        <f t="shared" si="5"/>
        <v>#DIV/0!</v>
      </c>
      <c r="O35" s="32" t="e">
        <f t="shared" si="6"/>
        <v>#DIV/0!</v>
      </c>
    </row>
    <row r="36" spans="1:15" ht="15.75" thickBot="1" x14ac:dyDescent="0.3">
      <c r="A36" s="46" t="s">
        <v>94</v>
      </c>
      <c r="B36" s="34" t="s">
        <v>43</v>
      </c>
      <c r="C36" s="34">
        <v>35.677579999999999</v>
      </c>
      <c r="D36" s="34">
        <v>-96.657960000000003</v>
      </c>
      <c r="E36" s="58">
        <f t="shared" si="7"/>
        <v>0</v>
      </c>
      <c r="F36" s="35">
        <v>24</v>
      </c>
      <c r="G36" s="35">
        <f t="shared" si="8"/>
        <v>18</v>
      </c>
      <c r="H36" s="35"/>
      <c r="I36" s="136" t="s">
        <v>91</v>
      </c>
      <c r="J36" s="137"/>
      <c r="K36" s="138"/>
      <c r="L36" s="35"/>
      <c r="M36" s="58" t="e">
        <f t="shared" si="9"/>
        <v>#DIV/0!</v>
      </c>
      <c r="N36" s="36" t="e">
        <f t="shared" si="5"/>
        <v>#DIV/0!</v>
      </c>
      <c r="O36" s="37" t="e">
        <f t="shared" si="6"/>
        <v>#DIV/0!</v>
      </c>
    </row>
    <row r="37" spans="1:15" ht="16.5" thickTop="1" thickBot="1" x14ac:dyDescent="0.3">
      <c r="A37" s="89" t="s">
        <v>11</v>
      </c>
      <c r="B37" s="89" t="s">
        <v>12</v>
      </c>
      <c r="C37" s="89" t="s">
        <v>13</v>
      </c>
      <c r="D37" s="89" t="s">
        <v>14</v>
      </c>
      <c r="E37" s="15" t="s">
        <v>15</v>
      </c>
      <c r="F37" s="92" t="s">
        <v>16</v>
      </c>
      <c r="G37" s="92" t="s">
        <v>17</v>
      </c>
      <c r="H37" s="92" t="s">
        <v>18</v>
      </c>
      <c r="I37" s="89" t="s">
        <v>88</v>
      </c>
      <c r="J37" s="89"/>
      <c r="K37" s="89"/>
      <c r="L37" s="92" t="s">
        <v>20</v>
      </c>
      <c r="M37" s="99" t="s">
        <v>21</v>
      </c>
      <c r="N37" s="97" t="s">
        <v>50</v>
      </c>
      <c r="O37" s="98"/>
    </row>
    <row r="38" spans="1:15" ht="15.75" thickTop="1" x14ac:dyDescent="0.25">
      <c r="A38" s="90"/>
      <c r="B38" s="90"/>
      <c r="C38" s="90"/>
      <c r="D38" s="90"/>
      <c r="E38" s="95" t="s">
        <v>23</v>
      </c>
      <c r="F38" s="93"/>
      <c r="G38" s="93"/>
      <c r="H38" s="93"/>
      <c r="I38" s="111" t="s">
        <v>89</v>
      </c>
      <c r="J38" s="112"/>
      <c r="K38" s="113"/>
      <c r="L38" s="93"/>
      <c r="M38" s="100"/>
      <c r="N38" s="8" t="s">
        <v>26</v>
      </c>
      <c r="O38" s="10" t="s">
        <v>27</v>
      </c>
    </row>
    <row r="39" spans="1:15" ht="15.75" thickBot="1" x14ac:dyDescent="0.3">
      <c r="A39" s="91"/>
      <c r="B39" s="91"/>
      <c r="C39" s="91"/>
      <c r="D39" s="91"/>
      <c r="E39" s="96"/>
      <c r="F39" s="94"/>
      <c r="G39" s="94"/>
      <c r="H39" s="94"/>
      <c r="I39" s="114"/>
      <c r="J39" s="115"/>
      <c r="K39" s="116"/>
      <c r="L39" s="94"/>
      <c r="M39" s="101"/>
      <c r="N39" s="9" t="s">
        <v>28</v>
      </c>
      <c r="O39" s="11" t="s">
        <v>29</v>
      </c>
    </row>
    <row r="40" spans="1:15" ht="15.75" thickTop="1" x14ac:dyDescent="0.25">
      <c r="A40" s="41" t="s">
        <v>95</v>
      </c>
      <c r="B40" s="47" t="s">
        <v>31</v>
      </c>
      <c r="C40" s="47">
        <v>35.651971000000003</v>
      </c>
      <c r="D40" s="47">
        <v>-96.893034</v>
      </c>
      <c r="E40" s="48">
        <f>H40/F40</f>
        <v>0.83333333333333337</v>
      </c>
      <c r="F40" s="47">
        <v>18</v>
      </c>
      <c r="G40" s="47">
        <f>F40*0.75</f>
        <v>13.5</v>
      </c>
      <c r="H40" s="47">
        <v>15</v>
      </c>
      <c r="I40" s="139" t="s">
        <v>96</v>
      </c>
      <c r="J40" s="140"/>
      <c r="K40" s="141"/>
      <c r="L40" s="47">
        <v>11</v>
      </c>
      <c r="M40" s="48">
        <f>L40/H40</f>
        <v>0.73333333333333328</v>
      </c>
      <c r="N40" s="20">
        <f t="shared" ref="N40:N51" si="10">M40</f>
        <v>0.73333333333333328</v>
      </c>
      <c r="O40" s="21">
        <f t="shared" ref="O40:O51" si="11">M40</f>
        <v>0.73333333333333328</v>
      </c>
    </row>
    <row r="41" spans="1:15" x14ac:dyDescent="0.25">
      <c r="A41" s="44" t="s">
        <v>95</v>
      </c>
      <c r="B41" s="22" t="s">
        <v>32</v>
      </c>
      <c r="C41" s="22">
        <v>35.666381999999999</v>
      </c>
      <c r="D41" s="22">
        <v>-96.679903999999993</v>
      </c>
      <c r="E41" s="23">
        <f t="shared" ref="E41:E51" si="12">H41/F41</f>
        <v>1.25</v>
      </c>
      <c r="F41" s="22">
        <v>24</v>
      </c>
      <c r="G41" s="22">
        <f t="shared" ref="G41:G51" si="13">F41*0.75</f>
        <v>18</v>
      </c>
      <c r="H41" s="22">
        <v>30</v>
      </c>
      <c r="I41" s="142" t="s">
        <v>96</v>
      </c>
      <c r="J41" s="143"/>
      <c r="K41" s="144"/>
      <c r="L41" s="22">
        <v>12</v>
      </c>
      <c r="M41" s="23">
        <f t="shared" ref="M41:M51" si="14">L41/H41</f>
        <v>0.4</v>
      </c>
      <c r="N41" s="24">
        <f t="shared" si="10"/>
        <v>0.4</v>
      </c>
      <c r="O41" s="25">
        <f t="shared" si="11"/>
        <v>0.4</v>
      </c>
    </row>
    <row r="42" spans="1:15" x14ac:dyDescent="0.25">
      <c r="A42" s="45" t="s">
        <v>95</v>
      </c>
      <c r="B42" s="26" t="s">
        <v>33</v>
      </c>
      <c r="C42" s="26">
        <v>35.642229999999998</v>
      </c>
      <c r="D42" s="26">
        <v>-96.822198</v>
      </c>
      <c r="E42" s="27">
        <f t="shared" si="12"/>
        <v>1.6666666666666667</v>
      </c>
      <c r="F42" s="26">
        <v>18</v>
      </c>
      <c r="G42" s="26">
        <f t="shared" si="13"/>
        <v>13.5</v>
      </c>
      <c r="H42" s="26">
        <v>30</v>
      </c>
      <c r="I42" s="142" t="s">
        <v>96</v>
      </c>
      <c r="J42" s="143"/>
      <c r="K42" s="144"/>
      <c r="L42" s="26">
        <v>15</v>
      </c>
      <c r="M42" s="27">
        <f t="shared" si="14"/>
        <v>0.5</v>
      </c>
      <c r="N42" s="28">
        <f t="shared" si="10"/>
        <v>0.5</v>
      </c>
      <c r="O42" s="29">
        <f t="shared" si="11"/>
        <v>0.5</v>
      </c>
    </row>
    <row r="43" spans="1:15" x14ac:dyDescent="0.25">
      <c r="A43" s="44" t="s">
        <v>95</v>
      </c>
      <c r="B43" s="22" t="s">
        <v>34</v>
      </c>
      <c r="C43" s="22">
        <v>35.640510999999996</v>
      </c>
      <c r="D43" s="22">
        <v>-96.910903000000005</v>
      </c>
      <c r="E43" s="23">
        <f t="shared" si="12"/>
        <v>1.3333333333333333</v>
      </c>
      <c r="F43" s="22">
        <v>18</v>
      </c>
      <c r="G43" s="22">
        <f t="shared" si="13"/>
        <v>13.5</v>
      </c>
      <c r="H43" s="22">
        <v>24</v>
      </c>
      <c r="I43" s="142" t="s">
        <v>96</v>
      </c>
      <c r="J43" s="143"/>
      <c r="K43" s="144"/>
      <c r="L43" s="22">
        <v>13</v>
      </c>
      <c r="M43" s="23">
        <f t="shared" si="14"/>
        <v>0.54166666666666663</v>
      </c>
      <c r="N43" s="24">
        <f t="shared" si="10"/>
        <v>0.54166666666666663</v>
      </c>
      <c r="O43" s="25">
        <f t="shared" si="11"/>
        <v>0.54166666666666663</v>
      </c>
    </row>
    <row r="44" spans="1:15" x14ac:dyDescent="0.25">
      <c r="A44" s="45" t="s">
        <v>95</v>
      </c>
      <c r="B44" s="26" t="s">
        <v>35</v>
      </c>
      <c r="C44" s="26">
        <v>35.683965000000001</v>
      </c>
      <c r="D44" s="26">
        <v>-96.698024000000004</v>
      </c>
      <c r="E44" s="27">
        <f t="shared" si="12"/>
        <v>1</v>
      </c>
      <c r="F44" s="26">
        <v>18</v>
      </c>
      <c r="G44" s="26">
        <f t="shared" si="13"/>
        <v>13.5</v>
      </c>
      <c r="H44" s="26">
        <v>18</v>
      </c>
      <c r="I44" s="142" t="s">
        <v>96</v>
      </c>
      <c r="J44" s="143"/>
      <c r="K44" s="144"/>
      <c r="L44" s="26">
        <v>2</v>
      </c>
      <c r="M44" s="27">
        <f t="shared" si="14"/>
        <v>0.1111111111111111</v>
      </c>
      <c r="N44" s="28">
        <f t="shared" si="10"/>
        <v>0.1111111111111111</v>
      </c>
      <c r="O44" s="29">
        <f t="shared" si="11"/>
        <v>0.1111111111111111</v>
      </c>
    </row>
    <row r="45" spans="1:15" x14ac:dyDescent="0.25">
      <c r="A45" s="44" t="s">
        <v>95</v>
      </c>
      <c r="B45" s="22" t="s">
        <v>36</v>
      </c>
      <c r="C45" s="22">
        <v>35.621029</v>
      </c>
      <c r="D45" s="22">
        <v>-96.822177999999994</v>
      </c>
      <c r="E45" s="23">
        <f t="shared" si="12"/>
        <v>0.94444444444444442</v>
      </c>
      <c r="F45" s="22">
        <v>18</v>
      </c>
      <c r="G45" s="22">
        <f t="shared" si="13"/>
        <v>13.5</v>
      </c>
      <c r="H45" s="22">
        <v>17</v>
      </c>
      <c r="I45" s="142" t="s">
        <v>96</v>
      </c>
      <c r="J45" s="143"/>
      <c r="K45" s="144"/>
      <c r="L45" s="22">
        <v>1</v>
      </c>
      <c r="M45" s="23">
        <f t="shared" si="14"/>
        <v>5.8823529411764705E-2</v>
      </c>
      <c r="N45" s="24">
        <f t="shared" si="10"/>
        <v>5.8823529411764705E-2</v>
      </c>
      <c r="O45" s="25">
        <f t="shared" si="11"/>
        <v>5.8823529411764705E-2</v>
      </c>
    </row>
    <row r="46" spans="1:15" x14ac:dyDescent="0.25">
      <c r="A46" s="45" t="s">
        <v>95</v>
      </c>
      <c r="B46" s="26" t="s">
        <v>37</v>
      </c>
      <c r="C46" s="26">
        <v>35.608344000000002</v>
      </c>
      <c r="D46" s="26">
        <v>-96.733529000000004</v>
      </c>
      <c r="E46" s="27">
        <f t="shared" si="12"/>
        <v>0.5</v>
      </c>
      <c r="F46" s="26">
        <v>18</v>
      </c>
      <c r="G46" s="26">
        <f t="shared" si="13"/>
        <v>13.5</v>
      </c>
      <c r="H46" s="26">
        <v>9</v>
      </c>
      <c r="I46" s="142" t="s">
        <v>96</v>
      </c>
      <c r="J46" s="143"/>
      <c r="K46" s="144"/>
      <c r="L46" s="26">
        <v>5</v>
      </c>
      <c r="M46" s="27">
        <f t="shared" si="14"/>
        <v>0.55555555555555558</v>
      </c>
      <c r="N46" s="28">
        <f t="shared" si="10"/>
        <v>0.55555555555555558</v>
      </c>
      <c r="O46" s="29">
        <f t="shared" si="11"/>
        <v>0.55555555555555558</v>
      </c>
    </row>
    <row r="47" spans="1:15" x14ac:dyDescent="0.25">
      <c r="A47" s="44" t="s">
        <v>95</v>
      </c>
      <c r="B47" s="22" t="s">
        <v>38</v>
      </c>
      <c r="C47" s="22">
        <v>35.677712</v>
      </c>
      <c r="D47" s="22">
        <v>-96.658317999999994</v>
      </c>
      <c r="E47" s="23">
        <f t="shared" si="12"/>
        <v>4.4916666666666663</v>
      </c>
      <c r="F47" s="22">
        <f>5*24</f>
        <v>120</v>
      </c>
      <c r="G47" s="22">
        <f t="shared" si="13"/>
        <v>90</v>
      </c>
      <c r="H47" s="22">
        <v>539</v>
      </c>
      <c r="I47" s="142" t="s">
        <v>96</v>
      </c>
      <c r="J47" s="143"/>
      <c r="K47" s="144"/>
      <c r="L47" s="22">
        <v>0</v>
      </c>
      <c r="M47" s="23">
        <f t="shared" si="14"/>
        <v>0</v>
      </c>
      <c r="N47" s="24">
        <f t="shared" si="10"/>
        <v>0</v>
      </c>
      <c r="O47" s="25">
        <f t="shared" si="11"/>
        <v>0</v>
      </c>
    </row>
    <row r="48" spans="1:15" x14ac:dyDescent="0.25">
      <c r="A48" s="45" t="s">
        <v>95</v>
      </c>
      <c r="B48" s="26" t="s">
        <v>39</v>
      </c>
      <c r="C48" s="26">
        <v>35.677965</v>
      </c>
      <c r="D48" s="26">
        <v>-96.657858000000004</v>
      </c>
      <c r="E48" s="56">
        <f t="shared" si="12"/>
        <v>0</v>
      </c>
      <c r="F48" s="33">
        <v>24</v>
      </c>
      <c r="G48" s="33">
        <f t="shared" si="13"/>
        <v>18</v>
      </c>
      <c r="H48" s="33"/>
      <c r="I48" s="145" t="s">
        <v>96</v>
      </c>
      <c r="J48" s="146"/>
      <c r="K48" s="147"/>
      <c r="L48" s="33"/>
      <c r="M48" s="56" t="e">
        <f t="shared" si="14"/>
        <v>#DIV/0!</v>
      </c>
      <c r="N48" s="31" t="e">
        <f t="shared" si="10"/>
        <v>#DIV/0!</v>
      </c>
      <c r="O48" s="32" t="e">
        <f t="shared" si="11"/>
        <v>#DIV/0!</v>
      </c>
    </row>
    <row r="49" spans="1:15" x14ac:dyDescent="0.25">
      <c r="A49" s="44" t="s">
        <v>95</v>
      </c>
      <c r="B49" s="22" t="s">
        <v>41</v>
      </c>
      <c r="C49" s="22">
        <v>35.677534000000001</v>
      </c>
      <c r="D49" s="22">
        <v>-96.657402000000005</v>
      </c>
      <c r="E49" s="56">
        <f t="shared" si="12"/>
        <v>0</v>
      </c>
      <c r="F49" s="33">
        <v>24</v>
      </c>
      <c r="G49" s="33">
        <f t="shared" si="13"/>
        <v>18</v>
      </c>
      <c r="H49" s="33"/>
      <c r="I49" s="145" t="s">
        <v>96</v>
      </c>
      <c r="J49" s="146"/>
      <c r="K49" s="147"/>
      <c r="L49" s="33"/>
      <c r="M49" s="56" t="e">
        <f t="shared" si="14"/>
        <v>#DIV/0!</v>
      </c>
      <c r="N49" s="31" t="e">
        <f t="shared" si="10"/>
        <v>#DIV/0!</v>
      </c>
      <c r="O49" s="32" t="e">
        <f t="shared" si="11"/>
        <v>#DIV/0!</v>
      </c>
    </row>
    <row r="50" spans="1:15" x14ac:dyDescent="0.25">
      <c r="A50" s="45" t="s">
        <v>95</v>
      </c>
      <c r="B50" s="26" t="s">
        <v>42</v>
      </c>
      <c r="C50" s="26">
        <v>35.677171999999999</v>
      </c>
      <c r="D50" s="26">
        <v>-96.658192</v>
      </c>
      <c r="E50" s="56">
        <f t="shared" si="12"/>
        <v>0</v>
      </c>
      <c r="F50" s="33">
        <v>24</v>
      </c>
      <c r="G50" s="33">
        <f t="shared" si="13"/>
        <v>18</v>
      </c>
      <c r="H50" s="33"/>
      <c r="I50" s="145" t="s">
        <v>96</v>
      </c>
      <c r="J50" s="146"/>
      <c r="K50" s="147"/>
      <c r="L50" s="33"/>
      <c r="M50" s="56" t="e">
        <f t="shared" si="14"/>
        <v>#DIV/0!</v>
      </c>
      <c r="N50" s="31" t="e">
        <f t="shared" si="10"/>
        <v>#DIV/0!</v>
      </c>
      <c r="O50" s="32" t="e">
        <f t="shared" si="11"/>
        <v>#DIV/0!</v>
      </c>
    </row>
    <row r="51" spans="1:15" ht="15.75" thickBot="1" x14ac:dyDescent="0.3">
      <c r="A51" s="46" t="s">
        <v>95</v>
      </c>
      <c r="B51" s="34" t="s">
        <v>43</v>
      </c>
      <c r="C51" s="49">
        <v>35.677579999999999</v>
      </c>
      <c r="D51" s="49">
        <v>-96.657960000000003</v>
      </c>
      <c r="E51" s="59">
        <f t="shared" si="12"/>
        <v>0</v>
      </c>
      <c r="F51" s="50">
        <v>24</v>
      </c>
      <c r="G51" s="50">
        <f t="shared" si="13"/>
        <v>18</v>
      </c>
      <c r="H51" s="50"/>
      <c r="I51" s="136" t="s">
        <v>96</v>
      </c>
      <c r="J51" s="137"/>
      <c r="K51" s="138"/>
      <c r="L51" s="50"/>
      <c r="M51" s="59" t="e">
        <f t="shared" si="14"/>
        <v>#DIV/0!</v>
      </c>
      <c r="N51" s="36" t="e">
        <f t="shared" si="10"/>
        <v>#DIV/0!</v>
      </c>
      <c r="O51" s="37" t="e">
        <f t="shared" si="11"/>
        <v>#DIV/0!</v>
      </c>
    </row>
    <row r="52" spans="1:15" ht="15.75" thickTop="1" x14ac:dyDescent="0.25">
      <c r="A52" s="72" t="s">
        <v>44</v>
      </c>
      <c r="B52" s="62" t="s">
        <v>45</v>
      </c>
      <c r="C52" s="85" t="s">
        <v>46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</row>
    <row r="53" spans="1:15" x14ac:dyDescent="0.25">
      <c r="B53" s="63" t="s">
        <v>36</v>
      </c>
      <c r="C53" s="77" t="s">
        <v>97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</row>
    <row r="54" spans="1:15" x14ac:dyDescent="0.25">
      <c r="A54" s="72" t="s">
        <v>47</v>
      </c>
      <c r="B54" s="62" t="s">
        <v>48</v>
      </c>
      <c r="C54" s="85" t="s">
        <v>49</v>
      </c>
      <c r="D54" s="85"/>
      <c r="E54" s="85"/>
      <c r="F54" s="85"/>
      <c r="G54" s="85"/>
      <c r="H54" s="85"/>
      <c r="I54" s="85"/>
      <c r="J54" s="85"/>
      <c r="K54" s="85"/>
      <c r="L54" s="85"/>
      <c r="M54" s="85"/>
    </row>
  </sheetData>
  <sheetProtection algorithmName="SHA-512" hashValue="PbxsfznibjM74tVLSe4ZxmGAHfX9i6R6n0+UaJvn9G5+t5X/C34/z68Fqnfx46jRMCqCi7J+qUk9DW3oXk8V2g==" saltValue="PxoTS4c2LgSE8CziM0cDBQ==" spinCount="100000" sheet="1" objects="1" scenarios="1" selectLockedCells="1" selectUnlockedCells="1"/>
  <mergeCells count="84">
    <mergeCell ref="C52:M52"/>
    <mergeCell ref="C53:M53"/>
    <mergeCell ref="C54:M54"/>
    <mergeCell ref="A1:O1"/>
    <mergeCell ref="B2:O2"/>
    <mergeCell ref="B3:O3"/>
    <mergeCell ref="B5:O5"/>
    <mergeCell ref="B6:O6"/>
    <mergeCell ref="N7:O7"/>
    <mergeCell ref="I8:K9"/>
    <mergeCell ref="A7:A9"/>
    <mergeCell ref="B7:B9"/>
    <mergeCell ref="C7:C9"/>
    <mergeCell ref="D7:D9"/>
    <mergeCell ref="F7:F9"/>
    <mergeCell ref="E8:E9"/>
    <mergeCell ref="G7:G9"/>
    <mergeCell ref="H7:H9"/>
    <mergeCell ref="I7:K7"/>
    <mergeCell ref="L7:L9"/>
    <mergeCell ref="M7:M9"/>
    <mergeCell ref="G22:G24"/>
    <mergeCell ref="H22:H24"/>
    <mergeCell ref="I22:K22"/>
    <mergeCell ref="L22:L24"/>
    <mergeCell ref="M22:M24"/>
    <mergeCell ref="A22:A24"/>
    <mergeCell ref="B22:B24"/>
    <mergeCell ref="C22:C24"/>
    <mergeCell ref="D22:D24"/>
    <mergeCell ref="F22:F24"/>
    <mergeCell ref="E23:E24"/>
    <mergeCell ref="I20:K20"/>
    <mergeCell ref="N37:O37"/>
    <mergeCell ref="I38:K39"/>
    <mergeCell ref="A37:A39"/>
    <mergeCell ref="B37:B39"/>
    <mergeCell ref="C37:C39"/>
    <mergeCell ref="D37:D39"/>
    <mergeCell ref="F37:F39"/>
    <mergeCell ref="E38:E39"/>
    <mergeCell ref="G37:G39"/>
    <mergeCell ref="H37:H39"/>
    <mergeCell ref="I37:K37"/>
    <mergeCell ref="L37:L39"/>
    <mergeCell ref="M37:M39"/>
    <mergeCell ref="N22:O22"/>
    <mergeCell ref="I23:K24"/>
    <mergeCell ref="I15:K15"/>
    <mergeCell ref="I16:K16"/>
    <mergeCell ref="I17:K17"/>
    <mergeCell ref="I18:K18"/>
    <mergeCell ref="I19:K19"/>
    <mergeCell ref="I10:K10"/>
    <mergeCell ref="I11:K11"/>
    <mergeCell ref="I12:K12"/>
    <mergeCell ref="I13:K13"/>
    <mergeCell ref="I14:K14"/>
    <mergeCell ref="I32:K32"/>
    <mergeCell ref="I33:K33"/>
    <mergeCell ref="I34:K34"/>
    <mergeCell ref="I35:K35"/>
    <mergeCell ref="I21:K21"/>
    <mergeCell ref="I27:K27"/>
    <mergeCell ref="I28:K28"/>
    <mergeCell ref="I29:K29"/>
    <mergeCell ref="I30:K30"/>
    <mergeCell ref="I31:K31"/>
    <mergeCell ref="B4:O4"/>
    <mergeCell ref="I51:K51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36:K36"/>
    <mergeCell ref="I25:K25"/>
    <mergeCell ref="I26:K26"/>
  </mergeCells>
  <conditionalFormatting sqref="H10:H21">
    <cfRule type="cellIs" dxfId="29" priority="20" operator="equal">
      <formula>$G$10</formula>
    </cfRule>
    <cfRule type="cellIs" dxfId="28" priority="21" operator="greaterThan">
      <formula>$G$10</formula>
    </cfRule>
    <cfRule type="cellIs" dxfId="27" priority="22" operator="lessThan">
      <formula>$G$13</formula>
    </cfRule>
  </conditionalFormatting>
  <conditionalFormatting sqref="H25:H36">
    <cfRule type="cellIs" dxfId="26" priority="15" operator="equal">
      <formula>$G$10</formula>
    </cfRule>
    <cfRule type="cellIs" dxfId="25" priority="16" operator="greaterThan">
      <formula>$G$10</formula>
    </cfRule>
    <cfRule type="cellIs" dxfId="24" priority="17" operator="lessThan">
      <formula>$G$13</formula>
    </cfRule>
  </conditionalFormatting>
  <conditionalFormatting sqref="H40:H51">
    <cfRule type="cellIs" dxfId="23" priority="10" operator="equal">
      <formula>$G$10</formula>
    </cfRule>
    <cfRule type="cellIs" dxfId="22" priority="11" operator="greaterThan">
      <formula>$G$10</formula>
    </cfRule>
    <cfRule type="cellIs" dxfId="21" priority="12" operator="lessThan">
      <formula>$G$13</formula>
    </cfRule>
  </conditionalFormatting>
  <conditionalFormatting sqref="N10:N21">
    <cfRule type="cellIs" dxfId="20" priority="24" operator="greaterThan">
      <formula>0.101</formula>
    </cfRule>
  </conditionalFormatting>
  <conditionalFormatting sqref="N25:N36">
    <cfRule type="cellIs" dxfId="19" priority="4" operator="greaterThan">
      <formula>0.101</formula>
    </cfRule>
  </conditionalFormatting>
  <conditionalFormatting sqref="N40:N51">
    <cfRule type="cellIs" dxfId="18" priority="2" operator="greaterThan">
      <formula>0.101</formula>
    </cfRule>
  </conditionalFormatting>
  <conditionalFormatting sqref="O10:O21">
    <cfRule type="cellIs" dxfId="17" priority="23" operator="lessThan">
      <formula>0.1</formula>
    </cfRule>
  </conditionalFormatting>
  <conditionalFormatting sqref="O25:O36">
    <cfRule type="cellIs" dxfId="16" priority="3" operator="lessThan">
      <formula>0.1</formula>
    </cfRule>
  </conditionalFormatting>
  <conditionalFormatting sqref="O40:O51">
    <cfRule type="cellIs" dxfId="15" priority="1" operator="lessThan"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4"/>
  <sheetViews>
    <sheetView workbookViewId="0">
      <selection activeCell="A26" sqref="A26"/>
    </sheetView>
  </sheetViews>
  <sheetFormatPr defaultRowHeight="15" x14ac:dyDescent="0.25"/>
  <cols>
    <col min="1" max="1" width="16.42578125" bestFit="1" customWidth="1"/>
    <col min="2" max="2" width="26" customWidth="1"/>
    <col min="3" max="3" width="10" bestFit="1" customWidth="1"/>
    <col min="4" max="4" width="10.7109375" bestFit="1" customWidth="1"/>
    <col min="5" max="5" width="19.28515625" bestFit="1" customWidth="1"/>
    <col min="6" max="6" width="9.7109375" bestFit="1" customWidth="1"/>
    <col min="7" max="7" width="10.5703125" bestFit="1" customWidth="1"/>
    <col min="8" max="8" width="8.42578125" bestFit="1" customWidth="1"/>
    <col min="9" max="9" width="36.42578125" customWidth="1"/>
    <col min="10" max="10" width="15.140625" customWidth="1"/>
    <col min="11" max="11" width="13.5703125" bestFit="1" customWidth="1"/>
    <col min="12" max="12" width="17" bestFit="1" customWidth="1"/>
    <col min="13" max="13" width="18.5703125" bestFit="1" customWidth="1"/>
  </cols>
  <sheetData>
    <row r="1" spans="1:15" ht="26.25" x14ac:dyDescent="0.4">
      <c r="A1" s="119" t="s">
        <v>98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5" x14ac:dyDescent="0.25">
      <c r="A2" s="7" t="s">
        <v>1</v>
      </c>
      <c r="B2" s="122" t="s">
        <v>2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spans="1:15" x14ac:dyDescent="0.25">
      <c r="A3" s="7" t="s">
        <v>51</v>
      </c>
      <c r="B3" s="122" t="s">
        <v>99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</row>
    <row r="4" spans="1:15" x14ac:dyDescent="0.25">
      <c r="A4" s="161" t="s">
        <v>5</v>
      </c>
      <c r="B4" s="122" t="s">
        <v>100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60"/>
    </row>
    <row r="5" spans="1:15" ht="13.5" customHeight="1" x14ac:dyDescent="0.25">
      <c r="A5" s="162"/>
      <c r="B5" s="164" t="s">
        <v>101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</row>
    <row r="6" spans="1:15" ht="15" customHeight="1" x14ac:dyDescent="0.25">
      <c r="A6" s="66" t="s">
        <v>7</v>
      </c>
      <c r="B6" s="165" t="s">
        <v>102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64"/>
      <c r="O6" s="64"/>
    </row>
    <row r="7" spans="1:15" ht="15.75" customHeight="1" thickBot="1" x14ac:dyDescent="0.3">
      <c r="A7" s="13" t="s">
        <v>9</v>
      </c>
      <c r="B7" s="157" t="s">
        <v>103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9"/>
      <c r="N7" s="65"/>
      <c r="O7" s="65"/>
    </row>
    <row r="8" spans="1:15" ht="16.5" thickTop="1" thickBot="1" x14ac:dyDescent="0.3">
      <c r="A8" s="89" t="s">
        <v>11</v>
      </c>
      <c r="B8" s="89" t="s">
        <v>12</v>
      </c>
      <c r="C8" s="89" t="s">
        <v>13</v>
      </c>
      <c r="D8" s="89" t="s">
        <v>14</v>
      </c>
      <c r="E8" s="15" t="s">
        <v>15</v>
      </c>
      <c r="F8" s="92" t="s">
        <v>16</v>
      </c>
      <c r="G8" s="92" t="s">
        <v>17</v>
      </c>
      <c r="H8" s="92" t="s">
        <v>18</v>
      </c>
      <c r="I8" s="74" t="s">
        <v>104</v>
      </c>
      <c r="J8" s="92" t="s">
        <v>20</v>
      </c>
      <c r="K8" s="99" t="s">
        <v>21</v>
      </c>
      <c r="L8" s="97" t="s">
        <v>105</v>
      </c>
      <c r="M8" s="98"/>
    </row>
    <row r="9" spans="1:15" ht="15.75" thickTop="1" x14ac:dyDescent="0.25">
      <c r="A9" s="90"/>
      <c r="B9" s="90"/>
      <c r="C9" s="90"/>
      <c r="D9" s="90"/>
      <c r="E9" s="95" t="s">
        <v>23</v>
      </c>
      <c r="F9" s="93"/>
      <c r="G9" s="93"/>
      <c r="H9" s="93"/>
      <c r="I9" s="75" t="s">
        <v>106</v>
      </c>
      <c r="J9" s="93"/>
      <c r="K9" s="100"/>
      <c r="L9" s="8" t="s">
        <v>107</v>
      </c>
      <c r="M9" s="10" t="s">
        <v>108</v>
      </c>
    </row>
    <row r="10" spans="1:15" ht="15.75" thickBot="1" x14ac:dyDescent="0.3">
      <c r="A10" s="91"/>
      <c r="B10" s="91"/>
      <c r="C10" s="91"/>
      <c r="D10" s="91"/>
      <c r="E10" s="96"/>
      <c r="F10" s="94"/>
      <c r="G10" s="94"/>
      <c r="H10" s="94"/>
      <c r="I10" s="75" t="s">
        <v>109</v>
      </c>
      <c r="J10" s="94"/>
      <c r="K10" s="101"/>
      <c r="L10" s="9" t="s">
        <v>63</v>
      </c>
      <c r="M10" s="11" t="s">
        <v>64</v>
      </c>
    </row>
    <row r="11" spans="1:15" ht="15.75" thickTop="1" x14ac:dyDescent="0.25">
      <c r="A11" s="16" t="s">
        <v>110</v>
      </c>
      <c r="B11" s="17" t="s">
        <v>31</v>
      </c>
      <c r="C11" s="17">
        <v>35.651971000000003</v>
      </c>
      <c r="D11" s="17">
        <v>-96.893034</v>
      </c>
      <c r="E11" s="18">
        <f>H11/F11</f>
        <v>0.77777777777777779</v>
      </c>
      <c r="F11" s="17">
        <v>18</v>
      </c>
      <c r="G11" s="17">
        <f>F11*0.75</f>
        <v>13.5</v>
      </c>
      <c r="H11" s="17">
        <v>14</v>
      </c>
      <c r="I11" s="70">
        <v>3.6560000000000002E-2</v>
      </c>
      <c r="J11" s="17">
        <v>13</v>
      </c>
      <c r="K11" s="18">
        <f t="shared" ref="K11:K22" si="0">J11/H11</f>
        <v>0.9285714285714286</v>
      </c>
      <c r="L11" s="20">
        <f t="shared" ref="L11:L22" si="1">K11</f>
        <v>0.9285714285714286</v>
      </c>
      <c r="M11" s="21">
        <f t="shared" ref="M11:M22" si="2">K11</f>
        <v>0.9285714285714286</v>
      </c>
    </row>
    <row r="12" spans="1:15" x14ac:dyDescent="0.25">
      <c r="A12" s="16" t="s">
        <v>110</v>
      </c>
      <c r="B12" s="22" t="s">
        <v>32</v>
      </c>
      <c r="C12" s="22">
        <v>35.666381999999999</v>
      </c>
      <c r="D12" s="22">
        <v>-96.679903999999993</v>
      </c>
      <c r="E12" s="23">
        <f t="shared" ref="E12:E22" si="3">H12/F12</f>
        <v>0.79166666666666663</v>
      </c>
      <c r="F12" s="22">
        <v>24</v>
      </c>
      <c r="G12" s="22">
        <f t="shared" ref="G12:G22" si="4">F12*0.75</f>
        <v>18</v>
      </c>
      <c r="H12" s="22">
        <v>19</v>
      </c>
      <c r="I12" s="70">
        <v>3.6560000000000002E-2</v>
      </c>
      <c r="J12" s="22">
        <v>19</v>
      </c>
      <c r="K12" s="23">
        <f t="shared" si="0"/>
        <v>1</v>
      </c>
      <c r="L12" s="24">
        <f t="shared" si="1"/>
        <v>1</v>
      </c>
      <c r="M12" s="25">
        <f t="shared" si="2"/>
        <v>1</v>
      </c>
    </row>
    <row r="13" spans="1:15" x14ac:dyDescent="0.25">
      <c r="A13" s="16" t="s">
        <v>110</v>
      </c>
      <c r="B13" s="26" t="s">
        <v>33</v>
      </c>
      <c r="C13" s="26">
        <v>35.642229999999998</v>
      </c>
      <c r="D13" s="26">
        <v>-96.822198</v>
      </c>
      <c r="E13" s="27">
        <f t="shared" si="3"/>
        <v>0.88888888888888884</v>
      </c>
      <c r="F13" s="26">
        <v>18</v>
      </c>
      <c r="G13" s="26">
        <f t="shared" si="4"/>
        <v>13.5</v>
      </c>
      <c r="H13" s="26">
        <v>16</v>
      </c>
      <c r="I13" s="70">
        <v>3.6560000000000002E-2</v>
      </c>
      <c r="J13" s="26">
        <v>16</v>
      </c>
      <c r="K13" s="27">
        <f t="shared" si="0"/>
        <v>1</v>
      </c>
      <c r="L13" s="28">
        <f t="shared" si="1"/>
        <v>1</v>
      </c>
      <c r="M13" s="29">
        <f t="shared" si="2"/>
        <v>1</v>
      </c>
    </row>
    <row r="14" spans="1:15" x14ac:dyDescent="0.25">
      <c r="A14" s="16" t="s">
        <v>110</v>
      </c>
      <c r="B14" s="22" t="s">
        <v>34</v>
      </c>
      <c r="C14" s="22">
        <v>35.640510999999996</v>
      </c>
      <c r="D14" s="22">
        <v>-96.910903000000005</v>
      </c>
      <c r="E14" s="23">
        <f t="shared" si="3"/>
        <v>0.88888888888888884</v>
      </c>
      <c r="F14" s="22">
        <v>18</v>
      </c>
      <c r="G14" s="22">
        <f t="shared" si="4"/>
        <v>13.5</v>
      </c>
      <c r="H14" s="22">
        <v>16</v>
      </c>
      <c r="I14" s="70">
        <v>3.6560000000000002E-2</v>
      </c>
      <c r="J14" s="22">
        <v>16</v>
      </c>
      <c r="K14" s="23">
        <f t="shared" si="0"/>
        <v>1</v>
      </c>
      <c r="L14" s="24">
        <f t="shared" si="1"/>
        <v>1</v>
      </c>
      <c r="M14" s="25">
        <f t="shared" si="2"/>
        <v>1</v>
      </c>
    </row>
    <row r="15" spans="1:15" x14ac:dyDescent="0.25">
      <c r="A15" s="16" t="s">
        <v>110</v>
      </c>
      <c r="B15" s="26" t="s">
        <v>35</v>
      </c>
      <c r="C15" s="26">
        <v>35.683965000000001</v>
      </c>
      <c r="D15" s="26">
        <v>-96.698024000000004</v>
      </c>
      <c r="E15" s="27">
        <f t="shared" si="3"/>
        <v>0.72222222222222221</v>
      </c>
      <c r="F15" s="26">
        <v>18</v>
      </c>
      <c r="G15" s="26">
        <f t="shared" si="4"/>
        <v>13.5</v>
      </c>
      <c r="H15" s="26">
        <v>13</v>
      </c>
      <c r="I15" s="70">
        <v>3.6560000000000002E-2</v>
      </c>
      <c r="J15" s="26">
        <v>13</v>
      </c>
      <c r="K15" s="27">
        <f t="shared" si="0"/>
        <v>1</v>
      </c>
      <c r="L15" s="28">
        <f t="shared" si="1"/>
        <v>1</v>
      </c>
      <c r="M15" s="29">
        <f t="shared" si="2"/>
        <v>1</v>
      </c>
    </row>
    <row r="16" spans="1:15" x14ac:dyDescent="0.25">
      <c r="A16" s="16" t="s">
        <v>110</v>
      </c>
      <c r="B16" s="22" t="s">
        <v>36</v>
      </c>
      <c r="C16" s="22">
        <v>35.621029</v>
      </c>
      <c r="D16" s="22">
        <v>-96.822177999999994</v>
      </c>
      <c r="E16" s="23">
        <f t="shared" si="3"/>
        <v>0.77777777777777779</v>
      </c>
      <c r="F16" s="22">
        <v>18</v>
      </c>
      <c r="G16" s="22">
        <f t="shared" si="4"/>
        <v>13.5</v>
      </c>
      <c r="H16" s="22">
        <v>14</v>
      </c>
      <c r="I16" s="70">
        <v>3.6560000000000002E-2</v>
      </c>
      <c r="J16" s="22">
        <v>13</v>
      </c>
      <c r="K16" s="23">
        <f t="shared" si="0"/>
        <v>0.9285714285714286</v>
      </c>
      <c r="L16" s="24">
        <f t="shared" si="1"/>
        <v>0.9285714285714286</v>
      </c>
      <c r="M16" s="25">
        <f t="shared" si="2"/>
        <v>0.9285714285714286</v>
      </c>
    </row>
    <row r="17" spans="1:13" x14ac:dyDescent="0.25">
      <c r="A17" s="16" t="s">
        <v>110</v>
      </c>
      <c r="B17" s="26" t="s">
        <v>37</v>
      </c>
      <c r="C17" s="26">
        <v>35.608344000000002</v>
      </c>
      <c r="D17" s="26">
        <v>-96.733529000000004</v>
      </c>
      <c r="E17" s="27">
        <f t="shared" si="3"/>
        <v>0.3888888888888889</v>
      </c>
      <c r="F17" s="26">
        <v>18</v>
      </c>
      <c r="G17" s="26">
        <f t="shared" si="4"/>
        <v>13.5</v>
      </c>
      <c r="H17" s="26">
        <v>7</v>
      </c>
      <c r="I17" s="70">
        <v>3.6560000000000002E-2</v>
      </c>
      <c r="J17" s="26">
        <v>7</v>
      </c>
      <c r="K17" s="27">
        <f t="shared" si="0"/>
        <v>1</v>
      </c>
      <c r="L17" s="28">
        <f t="shared" si="1"/>
        <v>1</v>
      </c>
      <c r="M17" s="29">
        <f t="shared" si="2"/>
        <v>1</v>
      </c>
    </row>
    <row r="18" spans="1:13" x14ac:dyDescent="0.25">
      <c r="A18" s="16" t="s">
        <v>110</v>
      </c>
      <c r="B18" s="22" t="s">
        <v>38</v>
      </c>
      <c r="C18" s="22">
        <v>35.677712</v>
      </c>
      <c r="D18" s="22">
        <v>-96.658317999999994</v>
      </c>
      <c r="E18" s="23">
        <f t="shared" si="3"/>
        <v>0.91666666666666663</v>
      </c>
      <c r="F18" s="22">
        <v>24</v>
      </c>
      <c r="G18" s="22">
        <f t="shared" si="4"/>
        <v>18</v>
      </c>
      <c r="H18" s="22">
        <v>22</v>
      </c>
      <c r="I18" s="70">
        <v>2E-3</v>
      </c>
      <c r="J18" s="22">
        <v>21</v>
      </c>
      <c r="K18" s="23">
        <f t="shared" si="0"/>
        <v>0.95454545454545459</v>
      </c>
      <c r="L18" s="24">
        <f t="shared" si="1"/>
        <v>0.95454545454545459</v>
      </c>
      <c r="M18" s="25">
        <f t="shared" si="2"/>
        <v>0.95454545454545459</v>
      </c>
    </row>
    <row r="19" spans="1:13" x14ac:dyDescent="0.25">
      <c r="A19" s="16" t="s">
        <v>110</v>
      </c>
      <c r="B19" s="26" t="s">
        <v>39</v>
      </c>
      <c r="C19" s="26">
        <v>35.677965</v>
      </c>
      <c r="D19" s="26">
        <v>-96.657858000000004</v>
      </c>
      <c r="E19" s="56" t="e">
        <f t="shared" si="3"/>
        <v>#VALUE!</v>
      </c>
      <c r="F19" s="33" t="s">
        <v>40</v>
      </c>
      <c r="G19" s="33" t="e">
        <f t="shared" si="4"/>
        <v>#VALUE!</v>
      </c>
      <c r="H19" s="33"/>
      <c r="I19" s="30"/>
      <c r="J19" s="33"/>
      <c r="K19" s="56" t="e">
        <f t="shared" si="0"/>
        <v>#DIV/0!</v>
      </c>
      <c r="L19" s="31" t="e">
        <f t="shared" si="1"/>
        <v>#DIV/0!</v>
      </c>
      <c r="M19" s="32" t="e">
        <f t="shared" si="2"/>
        <v>#DIV/0!</v>
      </c>
    </row>
    <row r="20" spans="1:13" x14ac:dyDescent="0.25">
      <c r="A20" s="16" t="s">
        <v>110</v>
      </c>
      <c r="B20" s="22" t="s">
        <v>41</v>
      </c>
      <c r="C20" s="22">
        <v>35.677534000000001</v>
      </c>
      <c r="D20" s="22">
        <v>-96.657402000000005</v>
      </c>
      <c r="E20" s="56" t="e">
        <f t="shared" si="3"/>
        <v>#VALUE!</v>
      </c>
      <c r="F20" s="33" t="s">
        <v>40</v>
      </c>
      <c r="G20" s="33" t="e">
        <f t="shared" si="4"/>
        <v>#VALUE!</v>
      </c>
      <c r="H20" s="33"/>
      <c r="I20" s="30"/>
      <c r="J20" s="33"/>
      <c r="K20" s="56" t="e">
        <f t="shared" si="0"/>
        <v>#DIV/0!</v>
      </c>
      <c r="L20" s="31" t="e">
        <f t="shared" si="1"/>
        <v>#DIV/0!</v>
      </c>
      <c r="M20" s="32" t="e">
        <f t="shared" si="2"/>
        <v>#DIV/0!</v>
      </c>
    </row>
    <row r="21" spans="1:13" x14ac:dyDescent="0.25">
      <c r="A21" s="16" t="s">
        <v>110</v>
      </c>
      <c r="B21" s="26" t="s">
        <v>42</v>
      </c>
      <c r="C21" s="26">
        <v>35.677171999999999</v>
      </c>
      <c r="D21" s="26">
        <v>-96.658192</v>
      </c>
      <c r="E21" s="56" t="e">
        <f t="shared" si="3"/>
        <v>#VALUE!</v>
      </c>
      <c r="F21" s="33" t="s">
        <v>40</v>
      </c>
      <c r="G21" s="33" t="e">
        <f t="shared" si="4"/>
        <v>#VALUE!</v>
      </c>
      <c r="H21" s="33"/>
      <c r="I21" s="30"/>
      <c r="J21" s="33"/>
      <c r="K21" s="56" t="e">
        <f t="shared" si="0"/>
        <v>#DIV/0!</v>
      </c>
      <c r="L21" s="31" t="e">
        <f t="shared" si="1"/>
        <v>#DIV/0!</v>
      </c>
      <c r="M21" s="32" t="e">
        <f t="shared" si="2"/>
        <v>#DIV/0!</v>
      </c>
    </row>
    <row r="22" spans="1:13" ht="15.75" customHeight="1" thickBot="1" x14ac:dyDescent="0.3">
      <c r="A22" s="16" t="s">
        <v>110</v>
      </c>
      <c r="B22" s="34" t="s">
        <v>43</v>
      </c>
      <c r="C22" s="34">
        <v>35.677579999999999</v>
      </c>
      <c r="D22" s="34">
        <v>-96.657960000000003</v>
      </c>
      <c r="E22" s="58" t="e">
        <f t="shared" si="3"/>
        <v>#VALUE!</v>
      </c>
      <c r="F22" s="35" t="s">
        <v>40</v>
      </c>
      <c r="G22" s="35" t="e">
        <f t="shared" si="4"/>
        <v>#VALUE!</v>
      </c>
      <c r="H22" s="35"/>
      <c r="I22" s="30"/>
      <c r="J22" s="35"/>
      <c r="K22" s="58" t="e">
        <f t="shared" si="0"/>
        <v>#DIV/0!</v>
      </c>
      <c r="L22" s="36" t="e">
        <f t="shared" si="1"/>
        <v>#DIV/0!</v>
      </c>
      <c r="M22" s="37" t="e">
        <f t="shared" si="2"/>
        <v>#DIV/0!</v>
      </c>
    </row>
    <row r="23" spans="1:13" ht="16.5" thickTop="1" thickBot="1" x14ac:dyDescent="0.3">
      <c r="A23" s="89" t="s">
        <v>11</v>
      </c>
      <c r="B23" s="89" t="s">
        <v>12</v>
      </c>
      <c r="C23" s="89" t="s">
        <v>13</v>
      </c>
      <c r="D23" s="89" t="s">
        <v>14</v>
      </c>
      <c r="E23" s="15" t="s">
        <v>15</v>
      </c>
      <c r="F23" s="92" t="s">
        <v>16</v>
      </c>
      <c r="G23" s="92" t="s">
        <v>17</v>
      </c>
      <c r="H23" s="92" t="s">
        <v>18</v>
      </c>
      <c r="I23" s="74" t="s">
        <v>104</v>
      </c>
      <c r="J23" s="92" t="s">
        <v>20</v>
      </c>
      <c r="K23" s="99" t="s">
        <v>21</v>
      </c>
      <c r="L23" s="97" t="s">
        <v>105</v>
      </c>
      <c r="M23" s="98"/>
    </row>
    <row r="24" spans="1:13" ht="15.75" thickTop="1" x14ac:dyDescent="0.25">
      <c r="A24" s="90"/>
      <c r="B24" s="90"/>
      <c r="C24" s="90"/>
      <c r="D24" s="90"/>
      <c r="E24" s="95" t="s">
        <v>23</v>
      </c>
      <c r="F24" s="93"/>
      <c r="G24" s="93"/>
      <c r="H24" s="93"/>
      <c r="I24" s="75" t="s">
        <v>106</v>
      </c>
      <c r="J24" s="93"/>
      <c r="K24" s="100"/>
      <c r="L24" s="8" t="s">
        <v>107</v>
      </c>
      <c r="M24" s="10" t="s">
        <v>108</v>
      </c>
    </row>
    <row r="25" spans="1:13" ht="15.75" thickBot="1" x14ac:dyDescent="0.3">
      <c r="A25" s="91"/>
      <c r="B25" s="91"/>
      <c r="C25" s="91"/>
      <c r="D25" s="91"/>
      <c r="E25" s="96"/>
      <c r="F25" s="94"/>
      <c r="G25" s="94"/>
      <c r="H25" s="94"/>
      <c r="I25" s="75" t="s">
        <v>109</v>
      </c>
      <c r="J25" s="94"/>
      <c r="K25" s="101"/>
      <c r="L25" s="9" t="s">
        <v>63</v>
      </c>
      <c r="M25" s="11" t="s">
        <v>64</v>
      </c>
    </row>
    <row r="26" spans="1:13" ht="27.75" thickTop="1" thickBot="1" x14ac:dyDescent="0.3">
      <c r="A26" s="38" t="s">
        <v>111</v>
      </c>
      <c r="B26" s="17" t="s">
        <v>31</v>
      </c>
      <c r="C26" s="17">
        <v>35.651971000000003</v>
      </c>
      <c r="D26" s="17">
        <v>-96.893034</v>
      </c>
      <c r="E26" s="18">
        <f>H26/F26</f>
        <v>0.83333333333333337</v>
      </c>
      <c r="F26" s="17">
        <v>18</v>
      </c>
      <c r="G26" s="17">
        <f>F26*0.75</f>
        <v>13.5</v>
      </c>
      <c r="H26" s="17">
        <v>15</v>
      </c>
      <c r="I26" s="39">
        <v>0.69</v>
      </c>
      <c r="J26" s="17">
        <v>7</v>
      </c>
      <c r="K26" s="18">
        <f t="shared" ref="K26:K37" si="5">J26/H26</f>
        <v>0.46666666666666667</v>
      </c>
      <c r="L26" s="20">
        <f t="shared" ref="L26:L52" si="6">K26</f>
        <v>0.46666666666666667</v>
      </c>
      <c r="M26" s="21">
        <f t="shared" ref="M26:M52" si="7">K26</f>
        <v>0.46666666666666667</v>
      </c>
    </row>
    <row r="27" spans="1:13" ht="27.75" thickTop="1" thickBot="1" x14ac:dyDescent="0.3">
      <c r="A27" s="38" t="s">
        <v>111</v>
      </c>
      <c r="B27" s="22" t="s">
        <v>32</v>
      </c>
      <c r="C27" s="22">
        <v>35.666381999999999</v>
      </c>
      <c r="D27" s="22">
        <v>-96.679903999999993</v>
      </c>
      <c r="E27" s="23">
        <f t="shared" ref="E27:E37" si="8">H27/F27</f>
        <v>0.95833333333333337</v>
      </c>
      <c r="F27" s="22">
        <v>24</v>
      </c>
      <c r="G27" s="22">
        <f t="shared" ref="G27:G37" si="9">F27*0.75</f>
        <v>18</v>
      </c>
      <c r="H27" s="22">
        <v>23</v>
      </c>
      <c r="I27" s="39">
        <v>0.69</v>
      </c>
      <c r="J27" s="22">
        <v>15</v>
      </c>
      <c r="K27" s="23">
        <f t="shared" si="5"/>
        <v>0.65217391304347827</v>
      </c>
      <c r="L27" s="24">
        <f t="shared" si="6"/>
        <v>0.65217391304347827</v>
      </c>
      <c r="M27" s="25">
        <f t="shared" si="7"/>
        <v>0.65217391304347827</v>
      </c>
    </row>
    <row r="28" spans="1:13" ht="27.75" thickTop="1" thickBot="1" x14ac:dyDescent="0.3">
      <c r="A28" s="38" t="s">
        <v>111</v>
      </c>
      <c r="B28" s="26" t="s">
        <v>33</v>
      </c>
      <c r="C28" s="26">
        <v>35.642229999999998</v>
      </c>
      <c r="D28" s="26">
        <v>-96.822198</v>
      </c>
      <c r="E28" s="27">
        <f t="shared" si="8"/>
        <v>0.94444444444444442</v>
      </c>
      <c r="F28" s="26">
        <v>18</v>
      </c>
      <c r="G28" s="26">
        <f t="shared" si="9"/>
        <v>13.5</v>
      </c>
      <c r="H28" s="26">
        <v>17</v>
      </c>
      <c r="I28" s="39">
        <v>0.69</v>
      </c>
      <c r="J28" s="26">
        <v>15</v>
      </c>
      <c r="K28" s="27">
        <f t="shared" si="5"/>
        <v>0.88235294117647056</v>
      </c>
      <c r="L28" s="28">
        <f t="shared" si="6"/>
        <v>0.88235294117647056</v>
      </c>
      <c r="M28" s="29">
        <f t="shared" si="7"/>
        <v>0.88235294117647056</v>
      </c>
    </row>
    <row r="29" spans="1:13" ht="27.75" thickTop="1" thickBot="1" x14ac:dyDescent="0.3">
      <c r="A29" s="38" t="s">
        <v>111</v>
      </c>
      <c r="B29" s="22" t="s">
        <v>34</v>
      </c>
      <c r="C29" s="22">
        <v>35.640510999999996</v>
      </c>
      <c r="D29" s="22">
        <v>-96.910903000000005</v>
      </c>
      <c r="E29" s="23">
        <f t="shared" si="8"/>
        <v>0.94444444444444442</v>
      </c>
      <c r="F29" s="22">
        <v>18</v>
      </c>
      <c r="G29" s="22">
        <f t="shared" si="9"/>
        <v>13.5</v>
      </c>
      <c r="H29" s="22">
        <v>17</v>
      </c>
      <c r="I29" s="39">
        <v>0.69</v>
      </c>
      <c r="J29" s="22">
        <v>14</v>
      </c>
      <c r="K29" s="23">
        <f t="shared" si="5"/>
        <v>0.82352941176470584</v>
      </c>
      <c r="L29" s="24">
        <f t="shared" si="6"/>
        <v>0.82352941176470584</v>
      </c>
      <c r="M29" s="25">
        <f t="shared" si="7"/>
        <v>0.82352941176470584</v>
      </c>
    </row>
    <row r="30" spans="1:13" ht="27.75" thickTop="1" thickBot="1" x14ac:dyDescent="0.3">
      <c r="A30" s="38" t="s">
        <v>111</v>
      </c>
      <c r="B30" s="26" t="s">
        <v>35</v>
      </c>
      <c r="C30" s="26">
        <v>35.683965000000001</v>
      </c>
      <c r="D30" s="26">
        <v>-96.698024000000004</v>
      </c>
      <c r="E30" s="27">
        <f t="shared" si="8"/>
        <v>0.77777777777777779</v>
      </c>
      <c r="F30" s="26">
        <v>18</v>
      </c>
      <c r="G30" s="26">
        <f t="shared" si="9"/>
        <v>13.5</v>
      </c>
      <c r="H30" s="26">
        <v>14</v>
      </c>
      <c r="I30" s="39">
        <v>0.69</v>
      </c>
      <c r="J30" s="26">
        <v>1</v>
      </c>
      <c r="K30" s="27">
        <f t="shared" si="5"/>
        <v>7.1428571428571425E-2</v>
      </c>
      <c r="L30" s="28">
        <f t="shared" si="6"/>
        <v>7.1428571428571425E-2</v>
      </c>
      <c r="M30" s="29">
        <f t="shared" si="7"/>
        <v>7.1428571428571425E-2</v>
      </c>
    </row>
    <row r="31" spans="1:13" ht="27.75" thickTop="1" thickBot="1" x14ac:dyDescent="0.3">
      <c r="A31" s="38" t="s">
        <v>111</v>
      </c>
      <c r="B31" s="22" t="s">
        <v>36</v>
      </c>
      <c r="C31" s="22">
        <v>35.621029</v>
      </c>
      <c r="D31" s="22">
        <v>-96.822177999999994</v>
      </c>
      <c r="E31" s="23">
        <f t="shared" si="8"/>
        <v>0.83333333333333337</v>
      </c>
      <c r="F31" s="22">
        <v>18</v>
      </c>
      <c r="G31" s="22">
        <f t="shared" si="9"/>
        <v>13.5</v>
      </c>
      <c r="H31" s="22">
        <v>15</v>
      </c>
      <c r="I31" s="39">
        <v>0.69</v>
      </c>
      <c r="J31" s="22">
        <v>1</v>
      </c>
      <c r="K31" s="23">
        <f t="shared" si="5"/>
        <v>6.6666666666666666E-2</v>
      </c>
      <c r="L31" s="24">
        <f t="shared" si="6"/>
        <v>6.6666666666666666E-2</v>
      </c>
      <c r="M31" s="25">
        <f t="shared" si="7"/>
        <v>6.6666666666666666E-2</v>
      </c>
    </row>
    <row r="32" spans="1:13" ht="27.75" thickTop="1" thickBot="1" x14ac:dyDescent="0.3">
      <c r="A32" s="38" t="s">
        <v>111</v>
      </c>
      <c r="B32" s="26" t="s">
        <v>37</v>
      </c>
      <c r="C32" s="26">
        <v>35.608344000000002</v>
      </c>
      <c r="D32" s="26">
        <v>-96.733529000000004</v>
      </c>
      <c r="E32" s="27">
        <f t="shared" si="8"/>
        <v>0.3888888888888889</v>
      </c>
      <c r="F32" s="26">
        <v>18</v>
      </c>
      <c r="G32" s="26">
        <f t="shared" si="9"/>
        <v>13.5</v>
      </c>
      <c r="H32" s="26">
        <v>7</v>
      </c>
      <c r="I32" s="39">
        <v>0.69</v>
      </c>
      <c r="J32" s="26">
        <v>0</v>
      </c>
      <c r="K32" s="27">
        <f t="shared" si="5"/>
        <v>0</v>
      </c>
      <c r="L32" s="28">
        <f t="shared" si="6"/>
        <v>0</v>
      </c>
      <c r="M32" s="29">
        <f t="shared" si="7"/>
        <v>0</v>
      </c>
    </row>
    <row r="33" spans="1:13" ht="27.75" thickTop="1" thickBot="1" x14ac:dyDescent="0.3">
      <c r="A33" s="38" t="s">
        <v>111</v>
      </c>
      <c r="B33" s="22" t="s">
        <v>38</v>
      </c>
      <c r="C33" s="22">
        <v>35.677712</v>
      </c>
      <c r="D33" s="22">
        <v>-96.658317999999994</v>
      </c>
      <c r="E33" s="23">
        <f t="shared" si="8"/>
        <v>0.95833333333333337</v>
      </c>
      <c r="F33" s="22">
        <v>24</v>
      </c>
      <c r="G33" s="22">
        <f t="shared" si="9"/>
        <v>18</v>
      </c>
      <c r="H33" s="22">
        <v>23</v>
      </c>
      <c r="I33" s="39">
        <v>0.36</v>
      </c>
      <c r="J33" s="22">
        <v>3</v>
      </c>
      <c r="K33" s="23">
        <f t="shared" si="5"/>
        <v>0.13043478260869565</v>
      </c>
      <c r="L33" s="24">
        <f t="shared" si="6"/>
        <v>0.13043478260869565</v>
      </c>
      <c r="M33" s="25">
        <f t="shared" si="7"/>
        <v>0.13043478260869565</v>
      </c>
    </row>
    <row r="34" spans="1:13" ht="27.75" thickTop="1" thickBot="1" x14ac:dyDescent="0.3">
      <c r="A34" s="38" t="s">
        <v>111</v>
      </c>
      <c r="B34" s="26" t="s">
        <v>39</v>
      </c>
      <c r="C34" s="26">
        <v>35.677965</v>
      </c>
      <c r="D34" s="26">
        <v>-96.657858000000004</v>
      </c>
      <c r="E34" s="56">
        <f t="shared" si="8"/>
        <v>0</v>
      </c>
      <c r="F34" s="33">
        <v>24</v>
      </c>
      <c r="G34" s="33">
        <f t="shared" si="9"/>
        <v>18</v>
      </c>
      <c r="H34" s="33"/>
      <c r="I34" s="40"/>
      <c r="J34" s="33">
        <v>0</v>
      </c>
      <c r="K34" s="56" t="e">
        <f t="shared" si="5"/>
        <v>#DIV/0!</v>
      </c>
      <c r="L34" s="31" t="e">
        <f t="shared" si="6"/>
        <v>#DIV/0!</v>
      </c>
      <c r="M34" s="32" t="e">
        <f t="shared" si="7"/>
        <v>#DIV/0!</v>
      </c>
    </row>
    <row r="35" spans="1:13" ht="27.75" thickTop="1" thickBot="1" x14ac:dyDescent="0.3">
      <c r="A35" s="38" t="s">
        <v>111</v>
      </c>
      <c r="B35" s="22" t="s">
        <v>41</v>
      </c>
      <c r="C35" s="22">
        <v>35.677534000000001</v>
      </c>
      <c r="D35" s="22">
        <v>-96.657402000000005</v>
      </c>
      <c r="E35" s="56">
        <f t="shared" si="8"/>
        <v>0</v>
      </c>
      <c r="F35" s="33">
        <v>24</v>
      </c>
      <c r="G35" s="33">
        <f t="shared" si="9"/>
        <v>18</v>
      </c>
      <c r="H35" s="33"/>
      <c r="I35" s="40"/>
      <c r="J35" s="33">
        <v>0</v>
      </c>
      <c r="K35" s="56" t="e">
        <f t="shared" si="5"/>
        <v>#DIV/0!</v>
      </c>
      <c r="L35" s="31" t="e">
        <f t="shared" si="6"/>
        <v>#DIV/0!</v>
      </c>
      <c r="M35" s="32" t="e">
        <f t="shared" si="7"/>
        <v>#DIV/0!</v>
      </c>
    </row>
    <row r="36" spans="1:13" ht="27.75" thickTop="1" thickBot="1" x14ac:dyDescent="0.3">
      <c r="A36" s="38" t="s">
        <v>111</v>
      </c>
      <c r="B36" s="26" t="s">
        <v>42</v>
      </c>
      <c r="C36" s="26">
        <v>35.677171999999999</v>
      </c>
      <c r="D36" s="26">
        <v>-96.658192</v>
      </c>
      <c r="E36" s="56">
        <f t="shared" si="8"/>
        <v>0</v>
      </c>
      <c r="F36" s="33">
        <v>24</v>
      </c>
      <c r="G36" s="33">
        <f t="shared" si="9"/>
        <v>18</v>
      </c>
      <c r="H36" s="33"/>
      <c r="I36" s="40"/>
      <c r="J36" s="33">
        <v>0</v>
      </c>
      <c r="K36" s="56" t="e">
        <f t="shared" si="5"/>
        <v>#DIV/0!</v>
      </c>
      <c r="L36" s="31" t="e">
        <f t="shared" si="6"/>
        <v>#DIV/0!</v>
      </c>
      <c r="M36" s="32" t="e">
        <f t="shared" si="7"/>
        <v>#DIV/0!</v>
      </c>
    </row>
    <row r="37" spans="1:13" ht="27.75" thickTop="1" thickBot="1" x14ac:dyDescent="0.3">
      <c r="A37" s="38" t="s">
        <v>111</v>
      </c>
      <c r="B37" s="34" t="s">
        <v>43</v>
      </c>
      <c r="C37" s="34">
        <v>35.677579999999999</v>
      </c>
      <c r="D37" s="34">
        <v>-96.657960000000003</v>
      </c>
      <c r="E37" s="58">
        <f t="shared" si="8"/>
        <v>0</v>
      </c>
      <c r="F37" s="35">
        <v>24</v>
      </c>
      <c r="G37" s="35">
        <f t="shared" si="9"/>
        <v>18</v>
      </c>
      <c r="H37" s="35"/>
      <c r="I37" s="40"/>
      <c r="J37" s="35">
        <v>0</v>
      </c>
      <c r="K37" s="58" t="e">
        <f t="shared" si="5"/>
        <v>#DIV/0!</v>
      </c>
      <c r="L37" s="36" t="e">
        <f t="shared" si="6"/>
        <v>#DIV/0!</v>
      </c>
      <c r="M37" s="37" t="e">
        <f t="shared" si="7"/>
        <v>#DIV/0!</v>
      </c>
    </row>
    <row r="38" spans="1:13" ht="16.5" thickTop="1" thickBot="1" x14ac:dyDescent="0.3">
      <c r="A38" s="89" t="s">
        <v>11</v>
      </c>
      <c r="B38" s="89" t="s">
        <v>12</v>
      </c>
      <c r="C38" s="89" t="s">
        <v>13</v>
      </c>
      <c r="D38" s="89" t="s">
        <v>14</v>
      </c>
      <c r="E38" s="15" t="s">
        <v>15</v>
      </c>
      <c r="F38" s="92" t="s">
        <v>16</v>
      </c>
      <c r="G38" s="92" t="s">
        <v>17</v>
      </c>
      <c r="H38" s="92" t="s">
        <v>18</v>
      </c>
      <c r="I38" s="74" t="s">
        <v>104</v>
      </c>
      <c r="J38" s="92" t="s">
        <v>20</v>
      </c>
      <c r="K38" s="99" t="s">
        <v>21</v>
      </c>
      <c r="L38" s="97" t="s">
        <v>105</v>
      </c>
      <c r="M38" s="98"/>
    </row>
    <row r="39" spans="1:13" ht="15.75" thickTop="1" x14ac:dyDescent="0.25">
      <c r="A39" s="90"/>
      <c r="B39" s="90"/>
      <c r="C39" s="90"/>
      <c r="D39" s="90"/>
      <c r="E39" s="95" t="s">
        <v>23</v>
      </c>
      <c r="F39" s="93"/>
      <c r="G39" s="93"/>
      <c r="H39" s="93"/>
      <c r="I39" s="75" t="s">
        <v>106</v>
      </c>
      <c r="J39" s="93"/>
      <c r="K39" s="100"/>
      <c r="L39" s="8" t="s">
        <v>107</v>
      </c>
      <c r="M39" s="10" t="s">
        <v>108</v>
      </c>
    </row>
    <row r="40" spans="1:13" ht="15.75" thickBot="1" x14ac:dyDescent="0.3">
      <c r="A40" s="91"/>
      <c r="B40" s="91"/>
      <c r="C40" s="91"/>
      <c r="D40" s="91"/>
      <c r="E40" s="96"/>
      <c r="F40" s="94"/>
      <c r="G40" s="94"/>
      <c r="H40" s="94"/>
      <c r="I40" s="75" t="s">
        <v>112</v>
      </c>
      <c r="J40" s="94"/>
      <c r="K40" s="101"/>
      <c r="L40" s="9" t="s">
        <v>63</v>
      </c>
      <c r="M40" s="11" t="s">
        <v>64</v>
      </c>
    </row>
    <row r="41" spans="1:13" ht="15.75" thickTop="1" x14ac:dyDescent="0.25">
      <c r="A41" s="41" t="s">
        <v>80</v>
      </c>
      <c r="B41" s="17" t="s">
        <v>31</v>
      </c>
      <c r="C41" s="17">
        <v>35.651971000000003</v>
      </c>
      <c r="D41" s="17">
        <v>-96.893034</v>
      </c>
      <c r="E41" s="18">
        <f>H41/F41</f>
        <v>0.83333333333333337</v>
      </c>
      <c r="F41" s="17">
        <v>18</v>
      </c>
      <c r="G41" s="17">
        <f>F41*0.75</f>
        <v>13.5</v>
      </c>
      <c r="H41" s="17">
        <v>15</v>
      </c>
      <c r="I41" s="69">
        <v>5.7</v>
      </c>
      <c r="J41" s="17">
        <v>8</v>
      </c>
      <c r="K41" s="18">
        <f t="shared" ref="K41:K52" si="10">J41/H41</f>
        <v>0.53333333333333333</v>
      </c>
      <c r="L41" s="20">
        <f t="shared" si="6"/>
        <v>0.53333333333333333</v>
      </c>
      <c r="M41" s="21">
        <f t="shared" si="7"/>
        <v>0.53333333333333333</v>
      </c>
    </row>
    <row r="42" spans="1:13" x14ac:dyDescent="0.25">
      <c r="A42" s="16" t="s">
        <v>80</v>
      </c>
      <c r="B42" s="22" t="s">
        <v>32</v>
      </c>
      <c r="C42" s="22">
        <v>35.666381999999999</v>
      </c>
      <c r="D42" s="22">
        <v>-96.679903999999993</v>
      </c>
      <c r="E42" s="23">
        <f t="shared" ref="E42:E52" si="11">H42/F42</f>
        <v>1.1666666666666667</v>
      </c>
      <c r="F42" s="22">
        <v>24</v>
      </c>
      <c r="G42" s="22">
        <f t="shared" ref="G42:G52" si="12">F42*0.75</f>
        <v>18</v>
      </c>
      <c r="H42" s="22">
        <v>28</v>
      </c>
      <c r="I42" s="69">
        <v>5.7</v>
      </c>
      <c r="J42" s="22">
        <v>25</v>
      </c>
      <c r="K42" s="23">
        <f t="shared" si="10"/>
        <v>0.8928571428571429</v>
      </c>
      <c r="L42" s="24">
        <f t="shared" si="6"/>
        <v>0.8928571428571429</v>
      </c>
      <c r="M42" s="25">
        <f t="shared" si="7"/>
        <v>0.8928571428571429</v>
      </c>
    </row>
    <row r="43" spans="1:13" x14ac:dyDescent="0.25">
      <c r="A43" s="16" t="s">
        <v>80</v>
      </c>
      <c r="B43" s="26" t="s">
        <v>33</v>
      </c>
      <c r="C43" s="26">
        <v>35.642229999999998</v>
      </c>
      <c r="D43" s="26">
        <v>-96.822198</v>
      </c>
      <c r="E43" s="27">
        <f t="shared" si="11"/>
        <v>1.1111111111111112</v>
      </c>
      <c r="F43" s="26">
        <v>18</v>
      </c>
      <c r="G43" s="26">
        <f t="shared" si="12"/>
        <v>13.5</v>
      </c>
      <c r="H43" s="26">
        <v>20</v>
      </c>
      <c r="I43" s="69">
        <v>5.7</v>
      </c>
      <c r="J43" s="26">
        <v>20</v>
      </c>
      <c r="K43" s="27">
        <f t="shared" si="10"/>
        <v>1</v>
      </c>
      <c r="L43" s="28">
        <f t="shared" si="6"/>
        <v>1</v>
      </c>
      <c r="M43" s="29">
        <f t="shared" si="7"/>
        <v>1</v>
      </c>
    </row>
    <row r="44" spans="1:13" x14ac:dyDescent="0.25">
      <c r="A44" s="16" t="s">
        <v>80</v>
      </c>
      <c r="B44" s="22" t="s">
        <v>34</v>
      </c>
      <c r="C44" s="22">
        <v>35.640510999999996</v>
      </c>
      <c r="D44" s="22">
        <v>-96.910903000000005</v>
      </c>
      <c r="E44" s="23">
        <f t="shared" si="11"/>
        <v>1.2777777777777777</v>
      </c>
      <c r="F44" s="22">
        <v>18</v>
      </c>
      <c r="G44" s="22">
        <f t="shared" si="12"/>
        <v>13.5</v>
      </c>
      <c r="H44" s="22">
        <v>23</v>
      </c>
      <c r="I44" s="69">
        <v>5.7</v>
      </c>
      <c r="J44" s="22">
        <v>22</v>
      </c>
      <c r="K44" s="23">
        <f t="shared" si="10"/>
        <v>0.95652173913043481</v>
      </c>
      <c r="L44" s="24">
        <f t="shared" si="6"/>
        <v>0.95652173913043481</v>
      </c>
      <c r="M44" s="25">
        <f t="shared" si="7"/>
        <v>0.95652173913043481</v>
      </c>
    </row>
    <row r="45" spans="1:13" x14ac:dyDescent="0.25">
      <c r="A45" s="16" t="s">
        <v>80</v>
      </c>
      <c r="B45" s="26" t="s">
        <v>35</v>
      </c>
      <c r="C45" s="26">
        <v>35.683965000000001</v>
      </c>
      <c r="D45" s="26">
        <v>-96.698024000000004</v>
      </c>
      <c r="E45" s="27">
        <f t="shared" si="11"/>
        <v>1</v>
      </c>
      <c r="F45" s="26">
        <v>18</v>
      </c>
      <c r="G45" s="26">
        <f t="shared" si="12"/>
        <v>13.5</v>
      </c>
      <c r="H45" s="26">
        <v>18</v>
      </c>
      <c r="I45" s="69">
        <v>5.7</v>
      </c>
      <c r="J45" s="26">
        <v>18</v>
      </c>
      <c r="K45" s="27">
        <f t="shared" si="10"/>
        <v>1</v>
      </c>
      <c r="L45" s="28">
        <f t="shared" si="6"/>
        <v>1</v>
      </c>
      <c r="M45" s="29">
        <f t="shared" si="7"/>
        <v>1</v>
      </c>
    </row>
    <row r="46" spans="1:13" x14ac:dyDescent="0.25">
      <c r="A46" s="16" t="s">
        <v>80</v>
      </c>
      <c r="B46" s="22" t="s">
        <v>36</v>
      </c>
      <c r="C46" s="22">
        <v>35.621029</v>
      </c>
      <c r="D46" s="22">
        <v>-96.822177999999994</v>
      </c>
      <c r="E46" s="23">
        <f t="shared" si="11"/>
        <v>0.88888888888888884</v>
      </c>
      <c r="F46" s="22">
        <v>18</v>
      </c>
      <c r="G46" s="22">
        <f t="shared" si="12"/>
        <v>13.5</v>
      </c>
      <c r="H46" s="22">
        <v>16</v>
      </c>
      <c r="I46" s="69">
        <v>5.7</v>
      </c>
      <c r="J46" s="22">
        <v>12</v>
      </c>
      <c r="K46" s="23">
        <f t="shared" si="10"/>
        <v>0.75</v>
      </c>
      <c r="L46" s="24">
        <f t="shared" si="6"/>
        <v>0.75</v>
      </c>
      <c r="M46" s="25">
        <f t="shared" si="7"/>
        <v>0.75</v>
      </c>
    </row>
    <row r="47" spans="1:13" x14ac:dyDescent="0.25">
      <c r="A47" s="16" t="s">
        <v>80</v>
      </c>
      <c r="B47" s="26" t="s">
        <v>37</v>
      </c>
      <c r="C47" s="26">
        <v>35.608344000000002</v>
      </c>
      <c r="D47" s="26">
        <v>-96.733529000000004</v>
      </c>
      <c r="E47" s="27">
        <f t="shared" si="11"/>
        <v>0.5</v>
      </c>
      <c r="F47" s="26">
        <v>18</v>
      </c>
      <c r="G47" s="26">
        <f t="shared" si="12"/>
        <v>13.5</v>
      </c>
      <c r="H47" s="26">
        <v>9</v>
      </c>
      <c r="I47" s="69">
        <v>5.7</v>
      </c>
      <c r="J47" s="26">
        <v>7</v>
      </c>
      <c r="K47" s="27">
        <f t="shared" si="10"/>
        <v>0.77777777777777779</v>
      </c>
      <c r="L47" s="28">
        <f t="shared" si="6"/>
        <v>0.77777777777777779</v>
      </c>
      <c r="M47" s="29">
        <f t="shared" si="7"/>
        <v>0.77777777777777779</v>
      </c>
    </row>
    <row r="48" spans="1:13" x14ac:dyDescent="0.25">
      <c r="A48" s="16" t="s">
        <v>80</v>
      </c>
      <c r="B48" s="22" t="s">
        <v>38</v>
      </c>
      <c r="C48" s="22">
        <v>35.677712</v>
      </c>
      <c r="D48" s="22">
        <v>-96.658317999999994</v>
      </c>
      <c r="E48" s="23">
        <f t="shared" si="11"/>
        <v>1.8333333333333333</v>
      </c>
      <c r="F48" s="22">
        <v>24</v>
      </c>
      <c r="G48" s="22">
        <f t="shared" si="12"/>
        <v>18</v>
      </c>
      <c r="H48" s="22">
        <v>44</v>
      </c>
      <c r="I48" s="69">
        <v>5.7</v>
      </c>
      <c r="J48" s="22">
        <v>13</v>
      </c>
      <c r="K48" s="23">
        <f t="shared" si="10"/>
        <v>0.29545454545454547</v>
      </c>
      <c r="L48" s="24">
        <f t="shared" si="6"/>
        <v>0.29545454545454547</v>
      </c>
      <c r="M48" s="25">
        <f t="shared" si="7"/>
        <v>0.29545454545454547</v>
      </c>
    </row>
    <row r="49" spans="1:13" x14ac:dyDescent="0.25">
      <c r="A49" s="16" t="s">
        <v>80</v>
      </c>
      <c r="B49" s="26" t="s">
        <v>39</v>
      </c>
      <c r="C49" s="26">
        <v>35.677965</v>
      </c>
      <c r="D49" s="26">
        <v>-96.657858000000004</v>
      </c>
      <c r="E49" s="56">
        <f t="shared" si="11"/>
        <v>0</v>
      </c>
      <c r="F49" s="33">
        <v>24</v>
      </c>
      <c r="G49" s="33">
        <f t="shared" si="12"/>
        <v>18</v>
      </c>
      <c r="H49" s="33"/>
      <c r="I49" s="40"/>
      <c r="J49" s="33">
        <v>0</v>
      </c>
      <c r="K49" s="56" t="e">
        <f t="shared" si="10"/>
        <v>#DIV/0!</v>
      </c>
      <c r="L49" s="31" t="e">
        <f t="shared" si="6"/>
        <v>#DIV/0!</v>
      </c>
      <c r="M49" s="32" t="e">
        <f t="shared" si="7"/>
        <v>#DIV/0!</v>
      </c>
    </row>
    <row r="50" spans="1:13" x14ac:dyDescent="0.25">
      <c r="A50" s="16" t="s">
        <v>80</v>
      </c>
      <c r="B50" s="22" t="s">
        <v>41</v>
      </c>
      <c r="C50" s="22">
        <v>35.677534000000001</v>
      </c>
      <c r="D50" s="22">
        <v>-96.657402000000005</v>
      </c>
      <c r="E50" s="56">
        <f t="shared" si="11"/>
        <v>0</v>
      </c>
      <c r="F50" s="33">
        <v>24</v>
      </c>
      <c r="G50" s="33">
        <f t="shared" si="12"/>
        <v>18</v>
      </c>
      <c r="H50" s="33"/>
      <c r="I50" s="40"/>
      <c r="J50" s="33">
        <v>0</v>
      </c>
      <c r="K50" s="56" t="e">
        <f t="shared" si="10"/>
        <v>#DIV/0!</v>
      </c>
      <c r="L50" s="31" t="e">
        <f t="shared" si="6"/>
        <v>#DIV/0!</v>
      </c>
      <c r="M50" s="32" t="e">
        <f t="shared" si="7"/>
        <v>#DIV/0!</v>
      </c>
    </row>
    <row r="51" spans="1:13" x14ac:dyDescent="0.25">
      <c r="A51" s="16" t="s">
        <v>80</v>
      </c>
      <c r="B51" s="26" t="s">
        <v>42</v>
      </c>
      <c r="C51" s="26">
        <v>35.677171999999999</v>
      </c>
      <c r="D51" s="26">
        <v>-96.658192</v>
      </c>
      <c r="E51" s="56">
        <f t="shared" si="11"/>
        <v>0</v>
      </c>
      <c r="F51" s="33">
        <v>24</v>
      </c>
      <c r="G51" s="33">
        <f t="shared" si="12"/>
        <v>18</v>
      </c>
      <c r="H51" s="33"/>
      <c r="I51" s="40"/>
      <c r="J51" s="33">
        <v>0</v>
      </c>
      <c r="K51" s="56" t="e">
        <f t="shared" si="10"/>
        <v>#DIV/0!</v>
      </c>
      <c r="L51" s="31" t="e">
        <f t="shared" si="6"/>
        <v>#DIV/0!</v>
      </c>
      <c r="M51" s="32" t="e">
        <f t="shared" si="7"/>
        <v>#DIV/0!</v>
      </c>
    </row>
    <row r="52" spans="1:13" ht="15.75" thickBot="1" x14ac:dyDescent="0.3">
      <c r="A52" s="51" t="s">
        <v>80</v>
      </c>
      <c r="B52" s="34" t="s">
        <v>43</v>
      </c>
      <c r="C52" s="34">
        <v>35.677579999999999</v>
      </c>
      <c r="D52" s="34">
        <v>-96.657960000000003</v>
      </c>
      <c r="E52" s="58">
        <f t="shared" si="11"/>
        <v>0</v>
      </c>
      <c r="F52" s="35">
        <v>24</v>
      </c>
      <c r="G52" s="35">
        <f t="shared" si="12"/>
        <v>18</v>
      </c>
      <c r="H52" s="35"/>
      <c r="I52" s="40"/>
      <c r="J52" s="35">
        <v>0</v>
      </c>
      <c r="K52" s="58" t="e">
        <f t="shared" si="10"/>
        <v>#DIV/0!</v>
      </c>
      <c r="L52" s="36" t="e">
        <f t="shared" si="6"/>
        <v>#DIV/0!</v>
      </c>
      <c r="M52" s="37" t="e">
        <f t="shared" si="7"/>
        <v>#DIV/0!</v>
      </c>
    </row>
    <row r="53" spans="1:13" x14ac:dyDescent="0.25">
      <c r="A53" s="72" t="s">
        <v>44</v>
      </c>
      <c r="B53" s="73" t="s">
        <v>45</v>
      </c>
      <c r="C53" s="163" t="s">
        <v>46</v>
      </c>
      <c r="D53" s="163"/>
      <c r="E53" s="163"/>
      <c r="F53" s="163"/>
      <c r="G53" s="163"/>
      <c r="H53" s="163"/>
      <c r="I53" s="163"/>
      <c r="J53" s="163"/>
      <c r="K53" s="163"/>
    </row>
    <row r="54" spans="1:13" x14ac:dyDescent="0.25">
      <c r="A54" s="72" t="s">
        <v>47</v>
      </c>
      <c r="B54" s="71" t="s">
        <v>48</v>
      </c>
      <c r="C54" s="77" t="s">
        <v>49</v>
      </c>
      <c r="D54" s="77"/>
      <c r="E54" s="77"/>
      <c r="F54" s="77"/>
      <c r="G54" s="77"/>
      <c r="H54" s="77"/>
      <c r="I54" s="77"/>
      <c r="J54" s="77"/>
      <c r="K54" s="77"/>
    </row>
  </sheetData>
  <sheetProtection selectLockedCells="1" selectUnlockedCells="1"/>
  <mergeCells count="43">
    <mergeCell ref="A1:M1"/>
    <mergeCell ref="B2:M2"/>
    <mergeCell ref="B3:M3"/>
    <mergeCell ref="L8:M8"/>
    <mergeCell ref="A8:A10"/>
    <mergeCell ref="B8:B10"/>
    <mergeCell ref="C8:C10"/>
    <mergeCell ref="D8:D10"/>
    <mergeCell ref="F8:F10"/>
    <mergeCell ref="E9:E10"/>
    <mergeCell ref="G8:G10"/>
    <mergeCell ref="H8:H10"/>
    <mergeCell ref="J8:J10"/>
    <mergeCell ref="K8:K10"/>
    <mergeCell ref="B5:M5"/>
    <mergeCell ref="B6:M6"/>
    <mergeCell ref="L38:M38"/>
    <mergeCell ref="G38:G40"/>
    <mergeCell ref="H38:H40"/>
    <mergeCell ref="J38:J40"/>
    <mergeCell ref="K38:K40"/>
    <mergeCell ref="C53:K53"/>
    <mergeCell ref="C54:K54"/>
    <mergeCell ref="G23:G25"/>
    <mergeCell ref="H23:H25"/>
    <mergeCell ref="J23:J25"/>
    <mergeCell ref="K23:K25"/>
    <mergeCell ref="B7:M7"/>
    <mergeCell ref="B4:M4"/>
    <mergeCell ref="A4:A5"/>
    <mergeCell ref="A38:A40"/>
    <mergeCell ref="B38:B40"/>
    <mergeCell ref="C38:C40"/>
    <mergeCell ref="D38:D40"/>
    <mergeCell ref="F38:F40"/>
    <mergeCell ref="E39:E40"/>
    <mergeCell ref="A23:A25"/>
    <mergeCell ref="B23:B25"/>
    <mergeCell ref="C23:C25"/>
    <mergeCell ref="D23:D25"/>
    <mergeCell ref="F23:F25"/>
    <mergeCell ref="E24:E25"/>
    <mergeCell ref="L23:M23"/>
  </mergeCells>
  <conditionalFormatting sqref="H11:H22">
    <cfRule type="cellIs" dxfId="14" priority="16" operator="equal">
      <formula>$G$11</formula>
    </cfRule>
    <cfRule type="cellIs" dxfId="13" priority="17" operator="greaterThan">
      <formula>$G$11</formula>
    </cfRule>
    <cfRule type="cellIs" dxfId="12" priority="18" operator="lessThan">
      <formula>$G$14</formula>
    </cfRule>
  </conditionalFormatting>
  <conditionalFormatting sqref="H26:H37">
    <cfRule type="cellIs" dxfId="11" priority="11" operator="equal">
      <formula>$G$11</formula>
    </cfRule>
    <cfRule type="cellIs" dxfId="10" priority="12" operator="greaterThan">
      <formula>$G$11</formula>
    </cfRule>
    <cfRule type="cellIs" dxfId="9" priority="13" operator="lessThan">
      <formula>$G$14</formula>
    </cfRule>
  </conditionalFormatting>
  <conditionalFormatting sqref="H41:H52">
    <cfRule type="cellIs" dxfId="8" priority="6" operator="equal">
      <formula>$G$11</formula>
    </cfRule>
    <cfRule type="cellIs" dxfId="7" priority="7" operator="greaterThan">
      <formula>$G$11</formula>
    </cfRule>
    <cfRule type="cellIs" dxfId="6" priority="8" operator="lessThan">
      <formula>$G$14</formula>
    </cfRule>
  </conditionalFormatting>
  <conditionalFormatting sqref="L11:L22">
    <cfRule type="cellIs" dxfId="5" priority="20" operator="greaterThan">
      <formula>0.151</formula>
    </cfRule>
  </conditionalFormatting>
  <conditionalFormatting sqref="L26:L37">
    <cfRule type="cellIs" dxfId="4" priority="15" operator="greaterThan">
      <formula>0.151</formula>
    </cfRule>
  </conditionalFormatting>
  <conditionalFormatting sqref="L41:L52">
    <cfRule type="cellIs" dxfId="3" priority="10" operator="greaterThan">
      <formula>0.151</formula>
    </cfRule>
  </conditionalFormatting>
  <conditionalFormatting sqref="M11:M22">
    <cfRule type="cellIs" dxfId="2" priority="19" operator="lessThan">
      <formula>0.15</formula>
    </cfRule>
  </conditionalFormatting>
  <conditionalFormatting sqref="M26:M37">
    <cfRule type="cellIs" dxfId="1" priority="14" operator="lessThan">
      <formula>0.15</formula>
    </cfRule>
  </conditionalFormatting>
  <conditionalFormatting sqref="M41:M52">
    <cfRule type="cellIs" dxfId="0" priority="9" operator="lessThan">
      <formula>0.15</formula>
    </cfRule>
  </conditionalFormatting>
  <hyperlinks>
    <hyperlink ref="B5" r:id="rId1" xr:uid="{00000000-0004-0000-0300-000000000000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2021-05-20T14:28:26+00:00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b8aa2eef-38f2-4ebe-b4bf-8c8dfeafc5c0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D475FDD56DA46A3F9C89F8984F1F5" ma:contentTypeVersion="16" ma:contentTypeDescription="Create a new document." ma:contentTypeScope="" ma:versionID="898119df9461e83824eacb5be95a982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b8aa2eef-38f2-4ebe-b4bf-8c8dfeafc5c0" xmlns:ns6="4335a77d-4de4-438d-bbc8-5323abe644a8" targetNamespace="http://schemas.microsoft.com/office/2006/metadata/properties" ma:root="true" ma:fieldsID="960d99c54d1dbbef47feb24c4c53528a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b8aa2eef-38f2-4ebe-b4bf-8c8dfeafc5c0"/>
    <xsd:import namespace="4335a77d-4de4-438d-bbc8-5323abe644a8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6:SharedWithUsers" minOccurs="0"/>
                <xsd:element ref="ns6:SharedWithDetails" minOccurs="0"/>
                <xsd:element ref="ns5:MediaServiceDateTaken" minOccurs="0"/>
                <xsd:element ref="ns5:MediaLengthInSeconds" minOccurs="0"/>
                <xsd:element ref="ns5:MediaServiceObjectDetectorVersions" minOccurs="0"/>
                <xsd:element ref="ns5:MediaServiceSearchProperties" minOccurs="0"/>
                <xsd:element ref="ns5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87ecdf9-602c-45a4-b15f-1a161bbe2321}" ma:internalName="TaxCatchAllLabel" ma:readOnly="true" ma:showField="CatchAllDataLabel" ma:web="4335a77d-4de4-438d-bbc8-5323abe644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87ecdf9-602c-45a4-b15f-1a161bbe2321}" ma:internalName="TaxCatchAll" ma:showField="CatchAllData" ma:web="4335a77d-4de4-438d-bbc8-5323abe644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a2eef-38f2-4ebe-b4bf-8c8dfeafc5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0" nillable="true" ma:displayName="Tags" ma:internalName="MediaServiceAutoTags" ma:readOnly="true">
      <xsd:simpleType>
        <xsd:restriction base="dms:Text"/>
      </xsd:simple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5a77d-4de4-438d-bbc8-5323abe644a8" elementFormDefault="qualified">
    <xsd:import namespace="http://schemas.microsoft.com/office/2006/documentManagement/types"/>
    <xsd:import namespace="http://schemas.microsoft.com/office/infopath/2007/PartnerControls"/>
    <xsd:element name="SharedWithUsers" ma:index="3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4A563B-E11C-4817-B87C-8F6CF5EAB9B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7C97194-1EB4-4E48-9B80-170CA359E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292355-C7F6-403A-8305-E1D773EA57A8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4335a77d-4de4-438d-bbc8-5323abe644a8"/>
    <ds:schemaRef ds:uri="http://schemas.microsoft.com/office/2006/metadata/properties"/>
    <ds:schemaRef ds:uri="b8aa2eef-38f2-4ebe-b4bf-8c8dfeafc5c0"/>
    <ds:schemaRef ds:uri="http://schemas.microsoft.com/sharepoint/v3"/>
    <ds:schemaRef ds:uri="http://schemas.microsoft.com/office/2006/documentManagement/types"/>
    <ds:schemaRef ds:uri="http://schemas.microsoft.com/sharepoint.v3"/>
    <ds:schemaRef ds:uri="http://purl.org/dc/elements/1.1/"/>
    <ds:schemaRef ds:uri="http://schemas.microsoft.com/sharepoint/v3/fields"/>
    <ds:schemaRef ds:uri="4ffa91fb-a0ff-4ac5-b2db-65c790d184a4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F7410EE5-A5DE-4AFA-833C-55F5CC071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b8aa2eef-38f2-4ebe-b4bf-8c8dfeafc5c0"/>
    <ds:schemaRef ds:uri="4335a77d-4de4-438d-bbc8-5323abe644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Primary-Secondary Contact</vt:lpstr>
      <vt:lpstr>Aquatic-Wildlife Use</vt:lpstr>
      <vt:lpstr>Agricultural-Livestock Use</vt:lpstr>
      <vt:lpstr>Nutrient Threatened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dmiller</dc:creator>
  <cp:keywords/>
  <dc:description/>
  <cp:lastModifiedBy>Mullin, Cristina</cp:lastModifiedBy>
  <cp:revision/>
  <dcterms:created xsi:type="dcterms:W3CDTF">2017-10-10T19:49:17Z</dcterms:created>
  <dcterms:modified xsi:type="dcterms:W3CDTF">2025-07-30T16:03:50Z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0x0101007FFD475FDD56DA46A3F9C89F8984F1F5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Document_x0020_Type">
    <vt:lpwstr/>
  </property>
  <property fmtid="{D5CDD505-2E9C-101B-9397-08002B2CF9AE}" pid="9" name="MediaServiceImageTags">
    <vt:lpwstr/>
  </property>
</Properties>
</file>